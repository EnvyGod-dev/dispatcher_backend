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ИСПЕТЧЕР\Tuvshin\"/>
    </mc:Choice>
  </mc:AlternateContent>
  <xr:revisionPtr revIDLastSave="0" documentId="13_ncr:1_{825A70B3-7329-478A-8A8E-CB9123A20D08}" xr6:coauthVersionLast="47" xr6:coauthVersionMax="47" xr10:uidLastSave="{00000000-0000-0000-0000-000000000000}"/>
  <bookViews>
    <workbookView xWindow="28680" yWindow="-120" windowWidth="29040" windowHeight="15840" firstSheet="6" activeTab="6" xr2:uid="{29DA57FE-E6C6-4C1B-8959-D0E0A89EF736}"/>
  </bookViews>
  <sheets>
    <sheet name="0203DS" sheetId="1" state="hidden" r:id="rId1"/>
    <sheet name="2.25 NS" sheetId="4" state="hidden" r:id="rId2"/>
    <sheet name="02.26DS" sheetId="3" state="hidden" r:id="rId3"/>
    <sheet name="02.26NS " sheetId="6" state="hidden" r:id="rId4"/>
    <sheet name="27NS" sheetId="8" state="hidden" r:id="rId5"/>
    <sheet name="28DS" sheetId="7" state="hidden" r:id="rId6"/>
    <sheet name="...." sheetId="10" r:id="rId7"/>
    <sheet name="0301" sheetId="9" state="hidden" r:id="rId8"/>
  </sheets>
  <definedNames>
    <definedName name="_xlnm._FilterDatabase" localSheetId="6" hidden="1">'....'!$L$1:$AQ$40</definedName>
    <definedName name="_xlnm._FilterDatabase" localSheetId="2" hidden="1">'02.26DS'!$J$1:$AO$44</definedName>
    <definedName name="_xlnm._FilterDatabase" localSheetId="3" hidden="1">'02.26NS '!$J$1:$AO$44</definedName>
    <definedName name="_xlnm._FilterDatabase" localSheetId="0" hidden="1">'0203DS'!$A$3:$AN$43</definedName>
    <definedName name="_xlnm._FilterDatabase" localSheetId="7" hidden="1">'0301'!$J$1:$AO$44</definedName>
    <definedName name="_xlnm._FilterDatabase" localSheetId="1" hidden="1">'2.25 NS'!$J$1:$AO$44</definedName>
    <definedName name="_xlnm._FilterDatabase" localSheetId="4" hidden="1">'27NS'!$J$1:$AO$44</definedName>
    <definedName name="_xlnm._FilterDatabase" localSheetId="5" hidden="1">'28DS'!$J$1:$AO$44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0" i="10" l="1"/>
  <c r="G41" i="10"/>
  <c r="G42" i="10"/>
  <c r="G43" i="10"/>
  <c r="G44" i="10"/>
  <c r="G45" i="10"/>
  <c r="G46" i="10"/>
  <c r="G47" i="10"/>
  <c r="G48" i="10"/>
  <c r="G49" i="10"/>
  <c r="J10" i="10" l="1"/>
  <c r="J6" i="10"/>
  <c r="J5" i="10"/>
  <c r="J4" i="10"/>
  <c r="J35" i="10"/>
  <c r="J34" i="10"/>
  <c r="J22" i="10"/>
  <c r="J19" i="10"/>
  <c r="J13" i="10"/>
  <c r="J7" i="10"/>
  <c r="AQ39" i="10"/>
  <c r="AH39" i="10"/>
  <c r="Z39" i="10"/>
  <c r="R39" i="10"/>
  <c r="K39" i="10"/>
  <c r="J39" i="10"/>
  <c r="G39" i="10"/>
  <c r="AQ38" i="10"/>
  <c r="AH38" i="10"/>
  <c r="Z38" i="10"/>
  <c r="R38" i="10"/>
  <c r="K38" i="10"/>
  <c r="J38" i="10"/>
  <c r="G38" i="10"/>
  <c r="AQ37" i="10"/>
  <c r="AH37" i="10"/>
  <c r="Z37" i="10"/>
  <c r="R37" i="10"/>
  <c r="K37" i="10"/>
  <c r="J37" i="10"/>
  <c r="G37" i="10"/>
  <c r="AQ36" i="10"/>
  <c r="AH36" i="10"/>
  <c r="Z36" i="10"/>
  <c r="R36" i="10"/>
  <c r="K36" i="10"/>
  <c r="J36" i="10"/>
  <c r="G36" i="10"/>
  <c r="AQ35" i="10"/>
  <c r="AH35" i="10"/>
  <c r="Z35" i="10"/>
  <c r="R35" i="10"/>
  <c r="K35" i="10"/>
  <c r="G35" i="10"/>
  <c r="AQ34" i="10"/>
  <c r="AH34" i="10"/>
  <c r="Z34" i="10"/>
  <c r="R34" i="10"/>
  <c r="K34" i="10"/>
  <c r="G34" i="10"/>
  <c r="AQ33" i="10"/>
  <c r="AH33" i="10"/>
  <c r="Z33" i="10"/>
  <c r="R33" i="10"/>
  <c r="K33" i="10"/>
  <c r="J33" i="10"/>
  <c r="G33" i="10"/>
  <c r="AQ32" i="10"/>
  <c r="AH32" i="10"/>
  <c r="Z32" i="10"/>
  <c r="R32" i="10"/>
  <c r="K32" i="10"/>
  <c r="J32" i="10"/>
  <c r="G32" i="10"/>
  <c r="AQ31" i="10"/>
  <c r="AH31" i="10"/>
  <c r="Z31" i="10"/>
  <c r="R31" i="10"/>
  <c r="K31" i="10"/>
  <c r="J31" i="10"/>
  <c r="G31" i="10"/>
  <c r="AQ30" i="10"/>
  <c r="AH30" i="10"/>
  <c r="Z30" i="10"/>
  <c r="R30" i="10"/>
  <c r="K30" i="10"/>
  <c r="J30" i="10"/>
  <c r="G30" i="10"/>
  <c r="AQ29" i="10"/>
  <c r="AH29" i="10"/>
  <c r="Z29" i="10"/>
  <c r="R29" i="10"/>
  <c r="K29" i="10"/>
  <c r="J29" i="10"/>
  <c r="G29" i="10"/>
  <c r="AQ28" i="10"/>
  <c r="AH28" i="10"/>
  <c r="Z28" i="10"/>
  <c r="R28" i="10"/>
  <c r="K28" i="10"/>
  <c r="J28" i="10"/>
  <c r="G28" i="10"/>
  <c r="AQ27" i="10"/>
  <c r="AH27" i="10"/>
  <c r="Z27" i="10"/>
  <c r="R27" i="10"/>
  <c r="K27" i="10"/>
  <c r="J27" i="10"/>
  <c r="G27" i="10"/>
  <c r="AQ26" i="10"/>
  <c r="AH26" i="10"/>
  <c r="Z26" i="10"/>
  <c r="R26" i="10"/>
  <c r="K26" i="10"/>
  <c r="J26" i="10"/>
  <c r="G26" i="10"/>
  <c r="AQ25" i="10"/>
  <c r="AH25" i="10"/>
  <c r="Z25" i="10"/>
  <c r="R25" i="10"/>
  <c r="K25" i="10"/>
  <c r="J25" i="10"/>
  <c r="G25" i="10"/>
  <c r="AQ24" i="10"/>
  <c r="AH24" i="10"/>
  <c r="Z24" i="10"/>
  <c r="R24" i="10"/>
  <c r="K24" i="10"/>
  <c r="J24" i="10"/>
  <c r="G24" i="10"/>
  <c r="AQ23" i="10"/>
  <c r="AH23" i="10"/>
  <c r="Z23" i="10"/>
  <c r="R23" i="10"/>
  <c r="K23" i="10"/>
  <c r="J23" i="10"/>
  <c r="G23" i="10"/>
  <c r="AQ22" i="10"/>
  <c r="AH22" i="10"/>
  <c r="Z22" i="10"/>
  <c r="R22" i="10"/>
  <c r="K22" i="10"/>
  <c r="G22" i="10"/>
  <c r="AQ21" i="10"/>
  <c r="AH21" i="10"/>
  <c r="Z21" i="10"/>
  <c r="R21" i="10"/>
  <c r="K21" i="10"/>
  <c r="J21" i="10"/>
  <c r="G21" i="10"/>
  <c r="AQ20" i="10"/>
  <c r="AH20" i="10"/>
  <c r="Z20" i="10"/>
  <c r="R20" i="10"/>
  <c r="K20" i="10"/>
  <c r="J20" i="10"/>
  <c r="G20" i="10"/>
  <c r="AQ19" i="10"/>
  <c r="AH19" i="10"/>
  <c r="Z19" i="10"/>
  <c r="R19" i="10"/>
  <c r="K19" i="10"/>
  <c r="G19" i="10"/>
  <c r="AQ18" i="10"/>
  <c r="AH18" i="10"/>
  <c r="Z18" i="10"/>
  <c r="R18" i="10"/>
  <c r="K18" i="10"/>
  <c r="J18" i="10"/>
  <c r="G18" i="10"/>
  <c r="AQ17" i="10"/>
  <c r="AH17" i="10"/>
  <c r="Z17" i="10"/>
  <c r="R17" i="10"/>
  <c r="K17" i="10"/>
  <c r="J17" i="10"/>
  <c r="G17" i="10"/>
  <c r="AQ16" i="10"/>
  <c r="AH16" i="10"/>
  <c r="Z16" i="10"/>
  <c r="R16" i="10"/>
  <c r="K16" i="10"/>
  <c r="J16" i="10"/>
  <c r="G16" i="10"/>
  <c r="AQ15" i="10"/>
  <c r="AH15" i="10"/>
  <c r="Z15" i="10"/>
  <c r="R15" i="10"/>
  <c r="K15" i="10"/>
  <c r="J15" i="10"/>
  <c r="G15" i="10"/>
  <c r="AQ14" i="10"/>
  <c r="AH14" i="10"/>
  <c r="Z14" i="10"/>
  <c r="R14" i="10"/>
  <c r="K14" i="10"/>
  <c r="J14" i="10"/>
  <c r="G14" i="10"/>
  <c r="AQ13" i="10"/>
  <c r="AH13" i="10"/>
  <c r="Z13" i="10"/>
  <c r="R13" i="10"/>
  <c r="K13" i="10"/>
  <c r="G13" i="10"/>
  <c r="AQ12" i="10"/>
  <c r="AH12" i="10"/>
  <c r="Z12" i="10"/>
  <c r="R12" i="10"/>
  <c r="K12" i="10"/>
  <c r="J12" i="10"/>
  <c r="G12" i="10"/>
  <c r="AQ11" i="10"/>
  <c r="AH11" i="10"/>
  <c r="Z11" i="10"/>
  <c r="R11" i="10"/>
  <c r="K11" i="10"/>
  <c r="J11" i="10"/>
  <c r="G11" i="10"/>
  <c r="AQ10" i="10"/>
  <c r="AH10" i="10"/>
  <c r="Z10" i="10"/>
  <c r="R10" i="10"/>
  <c r="K10" i="10"/>
  <c r="G10" i="10"/>
  <c r="AQ9" i="10"/>
  <c r="AH9" i="10"/>
  <c r="Z9" i="10"/>
  <c r="R9" i="10"/>
  <c r="K9" i="10"/>
  <c r="J9" i="10"/>
  <c r="G9" i="10"/>
  <c r="AQ8" i="10"/>
  <c r="AH8" i="10"/>
  <c r="Z8" i="10"/>
  <c r="R8" i="10"/>
  <c r="K8" i="10"/>
  <c r="J8" i="10"/>
  <c r="G8" i="10"/>
  <c r="AQ7" i="10"/>
  <c r="AH7" i="10"/>
  <c r="Z7" i="10"/>
  <c r="R7" i="10"/>
  <c r="K7" i="10"/>
  <c r="G7" i="10"/>
  <c r="AQ6" i="10"/>
  <c r="AH6" i="10"/>
  <c r="Z6" i="10"/>
  <c r="R6" i="10"/>
  <c r="K6" i="10"/>
  <c r="G6" i="10"/>
  <c r="AQ5" i="10"/>
  <c r="AH5" i="10"/>
  <c r="Z5" i="10"/>
  <c r="R5" i="10"/>
  <c r="K5" i="10"/>
  <c r="G5" i="10"/>
  <c r="AQ4" i="10"/>
  <c r="AH4" i="10"/>
  <c r="Z4" i="10"/>
  <c r="R4" i="10"/>
  <c r="K4" i="10"/>
  <c r="G4" i="10"/>
  <c r="G35" i="9" l="1"/>
  <c r="G34" i="9"/>
  <c r="H34" i="9" s="1"/>
  <c r="G22" i="9"/>
  <c r="H22" i="9" s="1"/>
  <c r="G19" i="9"/>
  <c r="H19" i="9" s="1"/>
  <c r="G16" i="9"/>
  <c r="H16" i="9" s="1"/>
  <c r="G13" i="9"/>
  <c r="H13" i="9" s="1"/>
  <c r="G10" i="9"/>
  <c r="G7" i="9"/>
  <c r="H7" i="9" s="1"/>
  <c r="D7" i="9"/>
  <c r="E7" i="9" s="1"/>
  <c r="G6" i="9"/>
  <c r="H6" i="9" s="1"/>
  <c r="G5" i="9"/>
  <c r="AN42" i="9"/>
  <c r="AM42" i="9"/>
  <c r="AL42" i="9"/>
  <c r="AK42" i="9"/>
  <c r="AJ42" i="9"/>
  <c r="AI42" i="9"/>
  <c r="AH42" i="9"/>
  <c r="AE42" i="9"/>
  <c r="AD42" i="9"/>
  <c r="AC42" i="9"/>
  <c r="AB42" i="9"/>
  <c r="AA42" i="9"/>
  <c r="Z42" i="9"/>
  <c r="W42" i="9"/>
  <c r="V42" i="9"/>
  <c r="U42" i="9"/>
  <c r="T42" i="9"/>
  <c r="S42" i="9"/>
  <c r="R42" i="9"/>
  <c r="O42" i="9"/>
  <c r="N42" i="9"/>
  <c r="M42" i="9"/>
  <c r="L42" i="9"/>
  <c r="K42" i="9"/>
  <c r="J42" i="9"/>
  <c r="AN41" i="9"/>
  <c r="AM41" i="9"/>
  <c r="AL41" i="9"/>
  <c r="AK41" i="9"/>
  <c r="AJ41" i="9"/>
  <c r="AI41" i="9"/>
  <c r="AH41" i="9"/>
  <c r="AE41" i="9"/>
  <c r="AD41" i="9"/>
  <c r="AC41" i="9"/>
  <c r="AB41" i="9"/>
  <c r="AA41" i="9"/>
  <c r="Z41" i="9"/>
  <c r="W41" i="9"/>
  <c r="V41" i="9"/>
  <c r="U41" i="9"/>
  <c r="T41" i="9"/>
  <c r="S41" i="9"/>
  <c r="R41" i="9"/>
  <c r="O41" i="9"/>
  <c r="N41" i="9"/>
  <c r="M41" i="9"/>
  <c r="L41" i="9"/>
  <c r="K41" i="9"/>
  <c r="J41" i="9"/>
  <c r="AN40" i="9"/>
  <c r="AM40" i="9"/>
  <c r="AL40" i="9"/>
  <c r="AK40" i="9"/>
  <c r="AJ40" i="9"/>
  <c r="AI40" i="9"/>
  <c r="AH40" i="9"/>
  <c r="AE40" i="9"/>
  <c r="AD40" i="9"/>
  <c r="AC40" i="9"/>
  <c r="AB40" i="9"/>
  <c r="Z40" i="9"/>
  <c r="W40" i="9"/>
  <c r="V40" i="9"/>
  <c r="U40" i="9"/>
  <c r="T40" i="9"/>
  <c r="S40" i="9"/>
  <c r="R40" i="9"/>
  <c r="O40" i="9"/>
  <c r="N40" i="9"/>
  <c r="M40" i="9"/>
  <c r="L40" i="9"/>
  <c r="K40" i="9"/>
  <c r="J40" i="9"/>
  <c r="AO39" i="9"/>
  <c r="AF39" i="9"/>
  <c r="X39" i="9"/>
  <c r="P39" i="9"/>
  <c r="I39" i="9"/>
  <c r="H39" i="9"/>
  <c r="E39" i="9"/>
  <c r="AO38" i="9"/>
  <c r="AF38" i="9"/>
  <c r="X38" i="9"/>
  <c r="P38" i="9"/>
  <c r="I38" i="9"/>
  <c r="H38" i="9"/>
  <c r="E38" i="9"/>
  <c r="AO37" i="9"/>
  <c r="AF37" i="9"/>
  <c r="X37" i="9"/>
  <c r="P37" i="9"/>
  <c r="I37" i="9"/>
  <c r="H37" i="9"/>
  <c r="E37" i="9"/>
  <c r="AO36" i="9"/>
  <c r="AF36" i="9"/>
  <c r="X36" i="9"/>
  <c r="P36" i="9"/>
  <c r="I36" i="9"/>
  <c r="H36" i="9"/>
  <c r="E36" i="9"/>
  <c r="AO35" i="9"/>
  <c r="AF35" i="9"/>
  <c r="X35" i="9"/>
  <c r="P35" i="9"/>
  <c r="I35" i="9"/>
  <c r="E35" i="9"/>
  <c r="AO34" i="9"/>
  <c r="AF34" i="9"/>
  <c r="X34" i="9"/>
  <c r="P34" i="9"/>
  <c r="I34" i="9"/>
  <c r="E34" i="9"/>
  <c r="AO33" i="9"/>
  <c r="AF33" i="9"/>
  <c r="X33" i="9"/>
  <c r="P33" i="9"/>
  <c r="I33" i="9"/>
  <c r="H33" i="9"/>
  <c r="E33" i="9"/>
  <c r="AO32" i="9"/>
  <c r="AF32" i="9"/>
  <c r="X32" i="9"/>
  <c r="P32" i="9"/>
  <c r="I32" i="9"/>
  <c r="H32" i="9"/>
  <c r="E32" i="9"/>
  <c r="AO31" i="9"/>
  <c r="AF31" i="9"/>
  <c r="X31" i="9"/>
  <c r="P31" i="9"/>
  <c r="I31" i="9"/>
  <c r="H31" i="9"/>
  <c r="E31" i="9"/>
  <c r="AO30" i="9"/>
  <c r="AF30" i="9"/>
  <c r="X30" i="9"/>
  <c r="P30" i="9"/>
  <c r="I30" i="9"/>
  <c r="H30" i="9"/>
  <c r="E30" i="9"/>
  <c r="AO29" i="9"/>
  <c r="AF29" i="9"/>
  <c r="X29" i="9"/>
  <c r="P29" i="9"/>
  <c r="I29" i="9"/>
  <c r="H29" i="9"/>
  <c r="E29" i="9"/>
  <c r="AO28" i="9"/>
  <c r="AF28" i="9"/>
  <c r="X28" i="9"/>
  <c r="P28" i="9"/>
  <c r="I28" i="9"/>
  <c r="H28" i="9"/>
  <c r="E28" i="9"/>
  <c r="AO27" i="9"/>
  <c r="AF27" i="9"/>
  <c r="X27" i="9"/>
  <c r="P27" i="9"/>
  <c r="I27" i="9"/>
  <c r="H27" i="9"/>
  <c r="E27" i="9"/>
  <c r="AO26" i="9"/>
  <c r="AF26" i="9"/>
  <c r="X26" i="9"/>
  <c r="P26" i="9"/>
  <c r="I26" i="9"/>
  <c r="E26" i="9"/>
  <c r="H26" i="9" s="1"/>
  <c r="AO25" i="9"/>
  <c r="AF25" i="9"/>
  <c r="X25" i="9"/>
  <c r="P25" i="9"/>
  <c r="I25" i="9"/>
  <c r="H25" i="9"/>
  <c r="E25" i="9"/>
  <c r="AO24" i="9"/>
  <c r="AF24" i="9"/>
  <c r="X24" i="9"/>
  <c r="P24" i="9"/>
  <c r="I24" i="9"/>
  <c r="H24" i="9"/>
  <c r="E24" i="9"/>
  <c r="AO23" i="9"/>
  <c r="AF23" i="9"/>
  <c r="X23" i="9"/>
  <c r="P23" i="9"/>
  <c r="I23" i="9"/>
  <c r="H23" i="9"/>
  <c r="E23" i="9"/>
  <c r="AO22" i="9"/>
  <c r="AF22" i="9"/>
  <c r="X22" i="9"/>
  <c r="P22" i="9"/>
  <c r="I22" i="9"/>
  <c r="E22" i="9"/>
  <c r="AO21" i="9"/>
  <c r="AF21" i="9"/>
  <c r="X21" i="9"/>
  <c r="P21" i="9"/>
  <c r="I21" i="9"/>
  <c r="H21" i="9"/>
  <c r="E21" i="9"/>
  <c r="AO20" i="9"/>
  <c r="AF20" i="9"/>
  <c r="X20" i="9"/>
  <c r="P20" i="9"/>
  <c r="I20" i="9"/>
  <c r="H20" i="9"/>
  <c r="E20" i="9"/>
  <c r="AO19" i="9"/>
  <c r="AF19" i="9"/>
  <c r="X19" i="9"/>
  <c r="P19" i="9"/>
  <c r="I19" i="9"/>
  <c r="E19" i="9"/>
  <c r="AO18" i="9"/>
  <c r="AF18" i="9"/>
  <c r="X18" i="9"/>
  <c r="P18" i="9"/>
  <c r="I18" i="9"/>
  <c r="H18" i="9"/>
  <c r="E18" i="9"/>
  <c r="AO17" i="9"/>
  <c r="AF17" i="9"/>
  <c r="X17" i="9"/>
  <c r="P17" i="9"/>
  <c r="I17" i="9"/>
  <c r="H17" i="9"/>
  <c r="E17" i="9"/>
  <c r="AO16" i="9"/>
  <c r="AF16" i="9"/>
  <c r="X16" i="9"/>
  <c r="P16" i="9"/>
  <c r="I16" i="9"/>
  <c r="E16" i="9"/>
  <c r="AO15" i="9"/>
  <c r="AF15" i="9"/>
  <c r="X15" i="9"/>
  <c r="P15" i="9"/>
  <c r="I15" i="9"/>
  <c r="H15" i="9"/>
  <c r="E15" i="9"/>
  <c r="AO14" i="9"/>
  <c r="AF14" i="9"/>
  <c r="X14" i="9"/>
  <c r="P14" i="9"/>
  <c r="I14" i="9"/>
  <c r="H14" i="9"/>
  <c r="E14" i="9"/>
  <c r="AO13" i="9"/>
  <c r="AF13" i="9"/>
  <c r="X13" i="9"/>
  <c r="P13" i="9"/>
  <c r="I13" i="9"/>
  <c r="E13" i="9"/>
  <c r="AO12" i="9"/>
  <c r="AF12" i="9"/>
  <c r="X12" i="9"/>
  <c r="P12" i="9"/>
  <c r="I12" i="9"/>
  <c r="H12" i="9"/>
  <c r="E12" i="9"/>
  <c r="AO11" i="9"/>
  <c r="AF11" i="9"/>
  <c r="X11" i="9"/>
  <c r="P11" i="9"/>
  <c r="I11" i="9"/>
  <c r="H11" i="9"/>
  <c r="E11" i="9"/>
  <c r="AO10" i="9"/>
  <c r="AF10" i="9"/>
  <c r="X10" i="9"/>
  <c r="P10" i="9"/>
  <c r="I10" i="9"/>
  <c r="E10" i="9"/>
  <c r="AO9" i="9"/>
  <c r="AF9" i="9"/>
  <c r="X9" i="9"/>
  <c r="P9" i="9"/>
  <c r="I9" i="9"/>
  <c r="H9" i="9"/>
  <c r="E9" i="9"/>
  <c r="AO8" i="9"/>
  <c r="AF8" i="9"/>
  <c r="X8" i="9"/>
  <c r="P8" i="9"/>
  <c r="I8" i="9"/>
  <c r="H8" i="9"/>
  <c r="E8" i="9"/>
  <c r="AO7" i="9"/>
  <c r="AF7" i="9"/>
  <c r="X7" i="9"/>
  <c r="P7" i="9"/>
  <c r="I7" i="9"/>
  <c r="AO6" i="9"/>
  <c r="AF6" i="9"/>
  <c r="X6" i="9"/>
  <c r="P6" i="9"/>
  <c r="I6" i="9"/>
  <c r="E6" i="9"/>
  <c r="AO5" i="9"/>
  <c r="AF5" i="9"/>
  <c r="X5" i="9"/>
  <c r="P5" i="9"/>
  <c r="I5" i="9"/>
  <c r="E5" i="9"/>
  <c r="AO4" i="9"/>
  <c r="AF4" i="9"/>
  <c r="X4" i="9"/>
  <c r="P4" i="9"/>
  <c r="I4" i="9"/>
  <c r="H4" i="9"/>
  <c r="E4" i="9"/>
  <c r="Z40" i="7"/>
  <c r="G35" i="7"/>
  <c r="G34" i="7"/>
  <c r="G26" i="7"/>
  <c r="D23" i="7"/>
  <c r="G22" i="7"/>
  <c r="G10" i="7"/>
  <c r="G6" i="7"/>
  <c r="G5" i="7"/>
  <c r="H10" i="9" l="1"/>
  <c r="H35" i="9"/>
  <c r="H5" i="9"/>
  <c r="AO41" i="9"/>
  <c r="P40" i="9"/>
  <c r="P41" i="9"/>
  <c r="AO42" i="9"/>
  <c r="AO40" i="9"/>
  <c r="AH43" i="9"/>
  <c r="AF40" i="9"/>
  <c r="AF41" i="9"/>
  <c r="AF42" i="9"/>
  <c r="Z43" i="9"/>
  <c r="X40" i="9"/>
  <c r="X41" i="9"/>
  <c r="R43" i="9"/>
  <c r="X42" i="9"/>
  <c r="P42" i="9"/>
  <c r="K43" i="9"/>
  <c r="I40" i="9"/>
  <c r="AH43" i="8"/>
  <c r="AN42" i="8"/>
  <c r="AM42" i="8"/>
  <c r="AL42" i="8"/>
  <c r="AK42" i="8"/>
  <c r="AJ42" i="8"/>
  <c r="AI42" i="8"/>
  <c r="AH42" i="8"/>
  <c r="AE42" i="8"/>
  <c r="AD42" i="8"/>
  <c r="AC42" i="8"/>
  <c r="AB42" i="8"/>
  <c r="AA42" i="8"/>
  <c r="Z42" i="8"/>
  <c r="W42" i="8"/>
  <c r="V42" i="8"/>
  <c r="U42" i="8"/>
  <c r="T42" i="8"/>
  <c r="S42" i="8"/>
  <c r="R42" i="8"/>
  <c r="O42" i="8"/>
  <c r="N42" i="8"/>
  <c r="M42" i="8"/>
  <c r="L42" i="8"/>
  <c r="K42" i="8"/>
  <c r="J42" i="8"/>
  <c r="AN41" i="8"/>
  <c r="AM41" i="8"/>
  <c r="AL41" i="8"/>
  <c r="AK41" i="8"/>
  <c r="AJ41" i="8"/>
  <c r="AI41" i="8"/>
  <c r="AH41" i="8"/>
  <c r="AE41" i="8"/>
  <c r="AD41" i="8"/>
  <c r="AC41" i="8"/>
  <c r="AB41" i="8"/>
  <c r="AA41" i="8"/>
  <c r="Z41" i="8"/>
  <c r="Z43" i="8" s="1"/>
  <c r="W41" i="8"/>
  <c r="V41" i="8"/>
  <c r="U41" i="8"/>
  <c r="T41" i="8"/>
  <c r="S41" i="8"/>
  <c r="R41" i="8"/>
  <c r="R43" i="8" s="1"/>
  <c r="O41" i="8"/>
  <c r="N41" i="8"/>
  <c r="M41" i="8"/>
  <c r="L41" i="8"/>
  <c r="K41" i="8"/>
  <c r="J41" i="8"/>
  <c r="K43" i="8" s="1"/>
  <c r="AO43" i="8" s="1"/>
  <c r="AN40" i="8"/>
  <c r="AM40" i="8"/>
  <c r="AL40" i="8"/>
  <c r="AK40" i="8"/>
  <c r="AJ40" i="8"/>
  <c r="AI40" i="8"/>
  <c r="AH40" i="8"/>
  <c r="AO40" i="8" s="1"/>
  <c r="AE40" i="8"/>
  <c r="AD40" i="8"/>
  <c r="AC40" i="8"/>
  <c r="AB40" i="8"/>
  <c r="AA40" i="8"/>
  <c r="Z40" i="8"/>
  <c r="AF40" i="8" s="1"/>
  <c r="X40" i="8"/>
  <c r="W40" i="8"/>
  <c r="V40" i="8"/>
  <c r="U40" i="8"/>
  <c r="T40" i="8"/>
  <c r="S40" i="8"/>
  <c r="R40" i="8"/>
  <c r="P40" i="8"/>
  <c r="O40" i="8"/>
  <c r="N40" i="8"/>
  <c r="M40" i="8"/>
  <c r="L40" i="8"/>
  <c r="K40" i="8"/>
  <c r="J40" i="8"/>
  <c r="AO39" i="8"/>
  <c r="AF39" i="8"/>
  <c r="X39" i="8"/>
  <c r="P39" i="8"/>
  <c r="I39" i="8"/>
  <c r="H39" i="8"/>
  <c r="E39" i="8"/>
  <c r="AO38" i="8"/>
  <c r="AF38" i="8"/>
  <c r="X38" i="8"/>
  <c r="P38" i="8"/>
  <c r="I38" i="8"/>
  <c r="H38" i="8"/>
  <c r="E38" i="8"/>
  <c r="AO37" i="8"/>
  <c r="AF37" i="8"/>
  <c r="X37" i="8"/>
  <c r="P37" i="8"/>
  <c r="I37" i="8"/>
  <c r="G37" i="8"/>
  <c r="H37" i="8" s="1"/>
  <c r="E37" i="8"/>
  <c r="D37" i="8"/>
  <c r="AO36" i="8"/>
  <c r="AF36" i="8"/>
  <c r="X36" i="8"/>
  <c r="P36" i="8"/>
  <c r="I36" i="8"/>
  <c r="H36" i="8"/>
  <c r="E36" i="8"/>
  <c r="AO35" i="8"/>
  <c r="AF35" i="8"/>
  <c r="X35" i="8"/>
  <c r="P35" i="8"/>
  <c r="I35" i="8"/>
  <c r="H35" i="8"/>
  <c r="G35" i="8"/>
  <c r="E35" i="8"/>
  <c r="AO34" i="8"/>
  <c r="AF34" i="8"/>
  <c r="X34" i="8"/>
  <c r="P34" i="8"/>
  <c r="I34" i="8"/>
  <c r="G34" i="8"/>
  <c r="H34" i="8" s="1"/>
  <c r="E34" i="8"/>
  <c r="AO33" i="8"/>
  <c r="AF33" i="8"/>
  <c r="X33" i="8"/>
  <c r="P33" i="8"/>
  <c r="I33" i="8"/>
  <c r="H33" i="8"/>
  <c r="E33" i="8"/>
  <c r="AO32" i="8"/>
  <c r="AF32" i="8"/>
  <c r="X32" i="8"/>
  <c r="P32" i="8"/>
  <c r="I32" i="8"/>
  <c r="H32" i="8"/>
  <c r="E32" i="8"/>
  <c r="AO31" i="8"/>
  <c r="AF31" i="8"/>
  <c r="X31" i="8"/>
  <c r="P31" i="8"/>
  <c r="I31" i="8"/>
  <c r="H31" i="8"/>
  <c r="E31" i="8"/>
  <c r="D31" i="8"/>
  <c r="AO30" i="8"/>
  <c r="AF30" i="8"/>
  <c r="X30" i="8"/>
  <c r="P30" i="8"/>
  <c r="I30" i="8"/>
  <c r="H30" i="8"/>
  <c r="E30" i="8"/>
  <c r="AO29" i="8"/>
  <c r="AO42" i="8" s="1"/>
  <c r="AF29" i="8"/>
  <c r="AF42" i="8" s="1"/>
  <c r="X29" i="8"/>
  <c r="P29" i="8"/>
  <c r="I29" i="8"/>
  <c r="H29" i="8"/>
  <c r="E29" i="8"/>
  <c r="AO28" i="8"/>
  <c r="AF28" i="8"/>
  <c r="X28" i="8"/>
  <c r="P28" i="8"/>
  <c r="I28" i="8"/>
  <c r="H28" i="8"/>
  <c r="E28" i="8"/>
  <c r="AO27" i="8"/>
  <c r="AF27" i="8"/>
  <c r="X27" i="8"/>
  <c r="P27" i="8"/>
  <c r="I27" i="8"/>
  <c r="H27" i="8"/>
  <c r="E27" i="8"/>
  <c r="AO26" i="8"/>
  <c r="AF26" i="8"/>
  <c r="X26" i="8"/>
  <c r="P26" i="8"/>
  <c r="I26" i="8"/>
  <c r="H26" i="8"/>
  <c r="E26" i="8"/>
  <c r="AO25" i="8"/>
  <c r="AF25" i="8"/>
  <c r="X25" i="8"/>
  <c r="P25" i="8"/>
  <c r="I25" i="8"/>
  <c r="H25" i="8"/>
  <c r="E25" i="8"/>
  <c r="AO24" i="8"/>
  <c r="AF24" i="8"/>
  <c r="X24" i="8"/>
  <c r="X42" i="8" s="1"/>
  <c r="P24" i="8"/>
  <c r="P42" i="8" s="1"/>
  <c r="I24" i="8"/>
  <c r="H24" i="8"/>
  <c r="E24" i="8"/>
  <c r="AO23" i="8"/>
  <c r="AF23" i="8"/>
  <c r="X23" i="8"/>
  <c r="P23" i="8"/>
  <c r="I23" i="8"/>
  <c r="H23" i="8"/>
  <c r="E23" i="8"/>
  <c r="AO22" i="8"/>
  <c r="AF22" i="8"/>
  <c r="X22" i="8"/>
  <c r="P22" i="8"/>
  <c r="I22" i="8"/>
  <c r="H22" i="8"/>
  <c r="G22" i="8"/>
  <c r="E22" i="8"/>
  <c r="AO21" i="8"/>
  <c r="AF21" i="8"/>
  <c r="X21" i="8"/>
  <c r="P21" i="8"/>
  <c r="I21" i="8"/>
  <c r="H21" i="8"/>
  <c r="E21" i="8"/>
  <c r="AO20" i="8"/>
  <c r="AF20" i="8"/>
  <c r="X20" i="8"/>
  <c r="P20" i="8"/>
  <c r="I20" i="8"/>
  <c r="H20" i="8"/>
  <c r="E20" i="8"/>
  <c r="AO19" i="8"/>
  <c r="AF19" i="8"/>
  <c r="X19" i="8"/>
  <c r="P19" i="8"/>
  <c r="I19" i="8"/>
  <c r="G19" i="8"/>
  <c r="H19" i="8" s="1"/>
  <c r="E19" i="8"/>
  <c r="AO18" i="8"/>
  <c r="AF18" i="8"/>
  <c r="X18" i="8"/>
  <c r="P18" i="8"/>
  <c r="I18" i="8"/>
  <c r="H18" i="8"/>
  <c r="E18" i="8"/>
  <c r="AO17" i="8"/>
  <c r="AF17" i="8"/>
  <c r="X17" i="8"/>
  <c r="P17" i="8"/>
  <c r="I17" i="8"/>
  <c r="H17" i="8"/>
  <c r="E17" i="8"/>
  <c r="AO16" i="8"/>
  <c r="AF16" i="8"/>
  <c r="X16" i="8"/>
  <c r="P16" i="8"/>
  <c r="I16" i="8"/>
  <c r="G16" i="8"/>
  <c r="H16" i="8" s="1"/>
  <c r="E16" i="8"/>
  <c r="AO15" i="8"/>
  <c r="AF15" i="8"/>
  <c r="X15" i="8"/>
  <c r="P15" i="8"/>
  <c r="I15" i="8"/>
  <c r="H15" i="8"/>
  <c r="E15" i="8"/>
  <c r="AO14" i="8"/>
  <c r="AF14" i="8"/>
  <c r="X14" i="8"/>
  <c r="P14" i="8"/>
  <c r="I14" i="8"/>
  <c r="H14" i="8"/>
  <c r="E14" i="8"/>
  <c r="AO13" i="8"/>
  <c r="AF13" i="8"/>
  <c r="X13" i="8"/>
  <c r="P13" i="8"/>
  <c r="I13" i="8"/>
  <c r="G13" i="8"/>
  <c r="H13" i="8" s="1"/>
  <c r="E13" i="8"/>
  <c r="AO12" i="8"/>
  <c r="AF12" i="8"/>
  <c r="X12" i="8"/>
  <c r="P12" i="8"/>
  <c r="I12" i="8"/>
  <c r="H12" i="8"/>
  <c r="E12" i="8"/>
  <c r="AO11" i="8"/>
  <c r="AF11" i="8"/>
  <c r="X11" i="8"/>
  <c r="P11" i="8"/>
  <c r="I11" i="8"/>
  <c r="H11" i="8"/>
  <c r="E11" i="8"/>
  <c r="AO10" i="8"/>
  <c r="AF10" i="8"/>
  <c r="X10" i="8"/>
  <c r="P10" i="8"/>
  <c r="I10" i="8"/>
  <c r="H10" i="8"/>
  <c r="G10" i="8"/>
  <c r="E10" i="8"/>
  <c r="AO9" i="8"/>
  <c r="AF9" i="8"/>
  <c r="X9" i="8"/>
  <c r="P9" i="8"/>
  <c r="I9" i="8"/>
  <c r="H9" i="8"/>
  <c r="G9" i="8"/>
  <c r="E9" i="8"/>
  <c r="AO8" i="8"/>
  <c r="AF8" i="8"/>
  <c r="X8" i="8"/>
  <c r="P8" i="8"/>
  <c r="P41" i="8" s="1"/>
  <c r="I8" i="8"/>
  <c r="H8" i="8"/>
  <c r="E8" i="8"/>
  <c r="AO7" i="8"/>
  <c r="AF7" i="8"/>
  <c r="X7" i="8"/>
  <c r="P7" i="8"/>
  <c r="I7" i="8"/>
  <c r="G7" i="8"/>
  <c r="H7" i="8" s="1"/>
  <c r="E7" i="8"/>
  <c r="AO6" i="8"/>
  <c r="AF6" i="8"/>
  <c r="AF41" i="8" s="1"/>
  <c r="X6" i="8"/>
  <c r="P6" i="8"/>
  <c r="I6" i="8"/>
  <c r="G6" i="8"/>
  <c r="H6" i="8" s="1"/>
  <c r="E6" i="8"/>
  <c r="AO5" i="8"/>
  <c r="AO41" i="8" s="1"/>
  <c r="AF5" i="8"/>
  <c r="X5" i="8"/>
  <c r="P5" i="8"/>
  <c r="I5" i="8"/>
  <c r="H5" i="8"/>
  <c r="G5" i="8"/>
  <c r="E5" i="8"/>
  <c r="AO4" i="8"/>
  <c r="AF4" i="8"/>
  <c r="X4" i="8"/>
  <c r="X41" i="8" s="1"/>
  <c r="P4" i="8"/>
  <c r="I4" i="8"/>
  <c r="I40" i="8" s="1"/>
  <c r="H4" i="8"/>
  <c r="E4" i="8"/>
  <c r="AO43" i="9" l="1"/>
  <c r="E37" i="7"/>
  <c r="H37" i="7" s="1"/>
  <c r="E31" i="7"/>
  <c r="H36" i="7"/>
  <c r="E36" i="7"/>
  <c r="AN42" i="7"/>
  <c r="AM42" i="7"/>
  <c r="AL42" i="7"/>
  <c r="AK42" i="7"/>
  <c r="AJ42" i="7"/>
  <c r="AI42" i="7"/>
  <c r="AH42" i="7"/>
  <c r="AE42" i="7"/>
  <c r="AD42" i="7"/>
  <c r="AC42" i="7"/>
  <c r="AB42" i="7"/>
  <c r="AA42" i="7"/>
  <c r="Z42" i="7"/>
  <c r="W42" i="7"/>
  <c r="V42" i="7"/>
  <c r="U42" i="7"/>
  <c r="T42" i="7"/>
  <c r="S42" i="7"/>
  <c r="R42" i="7"/>
  <c r="O42" i="7"/>
  <c r="N42" i="7"/>
  <c r="M42" i="7"/>
  <c r="L42" i="7"/>
  <c r="K42" i="7"/>
  <c r="J42" i="7"/>
  <c r="AN41" i="7"/>
  <c r="AM41" i="7"/>
  <c r="AL41" i="7"/>
  <c r="AK41" i="7"/>
  <c r="AJ41" i="7"/>
  <c r="AI41" i="7"/>
  <c r="AH41" i="7"/>
  <c r="AE41" i="7"/>
  <c r="AD41" i="7"/>
  <c r="AC41" i="7"/>
  <c r="AB41" i="7"/>
  <c r="AA41" i="7"/>
  <c r="Z41" i="7"/>
  <c r="W41" i="7"/>
  <c r="V41" i="7"/>
  <c r="U41" i="7"/>
  <c r="T41" i="7"/>
  <c r="S41" i="7"/>
  <c r="R41" i="7"/>
  <c r="O41" i="7"/>
  <c r="N41" i="7"/>
  <c r="M41" i="7"/>
  <c r="L41" i="7"/>
  <c r="K41" i="7"/>
  <c r="J41" i="7"/>
  <c r="AN40" i="7"/>
  <c r="AM40" i="7"/>
  <c r="AL40" i="7"/>
  <c r="AK40" i="7"/>
  <c r="AJ40" i="7"/>
  <c r="AI40" i="7"/>
  <c r="AH40" i="7"/>
  <c r="AE40" i="7"/>
  <c r="AD40" i="7"/>
  <c r="AC40" i="7"/>
  <c r="AB40" i="7"/>
  <c r="W40" i="7"/>
  <c r="V40" i="7"/>
  <c r="U40" i="7"/>
  <c r="T40" i="7"/>
  <c r="S40" i="7"/>
  <c r="R40" i="7"/>
  <c r="O40" i="7"/>
  <c r="N40" i="7"/>
  <c r="M40" i="7"/>
  <c r="L40" i="7"/>
  <c r="K40" i="7"/>
  <c r="J40" i="7"/>
  <c r="AO39" i="7"/>
  <c r="AF39" i="7"/>
  <c r="X39" i="7"/>
  <c r="P39" i="7"/>
  <c r="I39" i="7"/>
  <c r="H39" i="7"/>
  <c r="E39" i="7"/>
  <c r="AO38" i="7"/>
  <c r="AF38" i="7"/>
  <c r="X38" i="7"/>
  <c r="P38" i="7"/>
  <c r="I38" i="7"/>
  <c r="H38" i="7"/>
  <c r="E38" i="7"/>
  <c r="AO37" i="7"/>
  <c r="AF37" i="7"/>
  <c r="X37" i="7"/>
  <c r="P37" i="7"/>
  <c r="I37" i="7"/>
  <c r="AO36" i="7"/>
  <c r="AF36" i="7"/>
  <c r="X36" i="7"/>
  <c r="P36" i="7"/>
  <c r="I36" i="7"/>
  <c r="AO35" i="7"/>
  <c r="AF35" i="7"/>
  <c r="X35" i="7"/>
  <c r="P35" i="7"/>
  <c r="I35" i="7"/>
  <c r="E35" i="7"/>
  <c r="AO34" i="7"/>
  <c r="AF34" i="7"/>
  <c r="X34" i="7"/>
  <c r="P34" i="7"/>
  <c r="I34" i="7"/>
  <c r="E34" i="7"/>
  <c r="AO33" i="7"/>
  <c r="AF33" i="7"/>
  <c r="X33" i="7"/>
  <c r="P33" i="7"/>
  <c r="I33" i="7"/>
  <c r="H33" i="7"/>
  <c r="E33" i="7"/>
  <c r="AO32" i="7"/>
  <c r="AF32" i="7"/>
  <c r="X32" i="7"/>
  <c r="P32" i="7"/>
  <c r="I32" i="7"/>
  <c r="H32" i="7"/>
  <c r="E32" i="7"/>
  <c r="AO31" i="7"/>
  <c r="AF31" i="7"/>
  <c r="X31" i="7"/>
  <c r="P31" i="7"/>
  <c r="I31" i="7"/>
  <c r="H31" i="7"/>
  <c r="AO30" i="7"/>
  <c r="AF30" i="7"/>
  <c r="X30" i="7"/>
  <c r="P30" i="7"/>
  <c r="I30" i="7"/>
  <c r="H30" i="7"/>
  <c r="E30" i="7"/>
  <c r="AO29" i="7"/>
  <c r="AF29" i="7"/>
  <c r="X29" i="7"/>
  <c r="P29" i="7"/>
  <c r="I29" i="7"/>
  <c r="H29" i="7"/>
  <c r="E29" i="7"/>
  <c r="AO28" i="7"/>
  <c r="AF28" i="7"/>
  <c r="X28" i="7"/>
  <c r="P28" i="7"/>
  <c r="I28" i="7"/>
  <c r="H28" i="7"/>
  <c r="E28" i="7"/>
  <c r="AO27" i="7"/>
  <c r="AF27" i="7"/>
  <c r="X27" i="7"/>
  <c r="P27" i="7"/>
  <c r="I27" i="7"/>
  <c r="H27" i="7"/>
  <c r="E27" i="7"/>
  <c r="AO26" i="7"/>
  <c r="AF26" i="7"/>
  <c r="X26" i="7"/>
  <c r="P26" i="7"/>
  <c r="I26" i="7"/>
  <c r="H26" i="7"/>
  <c r="E26" i="7"/>
  <c r="AO25" i="7"/>
  <c r="AF25" i="7"/>
  <c r="X25" i="7"/>
  <c r="P25" i="7"/>
  <c r="I25" i="7"/>
  <c r="E25" i="7"/>
  <c r="H25" i="7" s="1"/>
  <c r="AO24" i="7"/>
  <c r="AF24" i="7"/>
  <c r="X24" i="7"/>
  <c r="P24" i="7"/>
  <c r="I24" i="7"/>
  <c r="H24" i="7"/>
  <c r="E24" i="7"/>
  <c r="AO23" i="7"/>
  <c r="AF23" i="7"/>
  <c r="X23" i="7"/>
  <c r="P23" i="7"/>
  <c r="I23" i="7"/>
  <c r="H23" i="7"/>
  <c r="E23" i="7"/>
  <c r="AO22" i="7"/>
  <c r="AF22" i="7"/>
  <c r="X22" i="7"/>
  <c r="P22" i="7"/>
  <c r="I22" i="7"/>
  <c r="E22" i="7"/>
  <c r="AO21" i="7"/>
  <c r="AF21" i="7"/>
  <c r="X21" i="7"/>
  <c r="P21" i="7"/>
  <c r="I21" i="7"/>
  <c r="H21" i="7"/>
  <c r="E21" i="7"/>
  <c r="AO20" i="7"/>
  <c r="AF20" i="7"/>
  <c r="X20" i="7"/>
  <c r="P20" i="7"/>
  <c r="I20" i="7"/>
  <c r="H20" i="7"/>
  <c r="E20" i="7"/>
  <c r="AO19" i="7"/>
  <c r="AF19" i="7"/>
  <c r="X19" i="7"/>
  <c r="P19" i="7"/>
  <c r="I19" i="7"/>
  <c r="E19" i="7"/>
  <c r="AO18" i="7"/>
  <c r="AF18" i="7"/>
  <c r="X18" i="7"/>
  <c r="P18" i="7"/>
  <c r="I18" i="7"/>
  <c r="H18" i="7"/>
  <c r="E18" i="7"/>
  <c r="AO17" i="7"/>
  <c r="AF17" i="7"/>
  <c r="X17" i="7"/>
  <c r="P17" i="7"/>
  <c r="I17" i="7"/>
  <c r="H17" i="7"/>
  <c r="E17" i="7"/>
  <c r="AO16" i="7"/>
  <c r="AF16" i="7"/>
  <c r="X16" i="7"/>
  <c r="P16" i="7"/>
  <c r="I16" i="7"/>
  <c r="E16" i="7"/>
  <c r="H16" i="7" s="1"/>
  <c r="AO15" i="7"/>
  <c r="AF15" i="7"/>
  <c r="X15" i="7"/>
  <c r="P15" i="7"/>
  <c r="I15" i="7"/>
  <c r="H15" i="7"/>
  <c r="E15" i="7"/>
  <c r="AO14" i="7"/>
  <c r="AF14" i="7"/>
  <c r="X14" i="7"/>
  <c r="P14" i="7"/>
  <c r="I14" i="7"/>
  <c r="H14" i="7"/>
  <c r="E14" i="7"/>
  <c r="AO13" i="7"/>
  <c r="AF13" i="7"/>
  <c r="X13" i="7"/>
  <c r="P13" i="7"/>
  <c r="I13" i="7"/>
  <c r="E13" i="7"/>
  <c r="AO12" i="7"/>
  <c r="AF12" i="7"/>
  <c r="X12" i="7"/>
  <c r="P12" i="7"/>
  <c r="I12" i="7"/>
  <c r="H12" i="7"/>
  <c r="E12" i="7"/>
  <c r="AO11" i="7"/>
  <c r="AF11" i="7"/>
  <c r="X11" i="7"/>
  <c r="P11" i="7"/>
  <c r="I11" i="7"/>
  <c r="E11" i="7"/>
  <c r="H11" i="7" s="1"/>
  <c r="AO10" i="7"/>
  <c r="AF10" i="7"/>
  <c r="X10" i="7"/>
  <c r="P10" i="7"/>
  <c r="I10" i="7"/>
  <c r="E10" i="7"/>
  <c r="H10" i="7" s="1"/>
  <c r="AO9" i="7"/>
  <c r="AF9" i="7"/>
  <c r="X9" i="7"/>
  <c r="P9" i="7"/>
  <c r="I9" i="7"/>
  <c r="E9" i="7"/>
  <c r="H9" i="7" s="1"/>
  <c r="AO8" i="7"/>
  <c r="AF8" i="7"/>
  <c r="X8" i="7"/>
  <c r="P8" i="7"/>
  <c r="I8" i="7"/>
  <c r="H8" i="7"/>
  <c r="E8" i="7"/>
  <c r="AO7" i="7"/>
  <c r="AF7" i="7"/>
  <c r="X7" i="7"/>
  <c r="P7" i="7"/>
  <c r="I7" i="7"/>
  <c r="E7" i="7"/>
  <c r="H7" i="7" s="1"/>
  <c r="AO6" i="7"/>
  <c r="AF6" i="7"/>
  <c r="X6" i="7"/>
  <c r="P6" i="7"/>
  <c r="I6" i="7"/>
  <c r="E6" i="7"/>
  <c r="AO5" i="7"/>
  <c r="AF5" i="7"/>
  <c r="X5" i="7"/>
  <c r="P5" i="7"/>
  <c r="I5" i="7"/>
  <c r="E5" i="7"/>
  <c r="H5" i="7" s="1"/>
  <c r="AO4" i="7"/>
  <c r="AF4" i="7"/>
  <c r="X4" i="7"/>
  <c r="P4" i="7"/>
  <c r="I4" i="7"/>
  <c r="H4" i="7"/>
  <c r="E4" i="7"/>
  <c r="E4" i="6"/>
  <c r="G13" i="6"/>
  <c r="H13" i="6" s="1"/>
  <c r="G35" i="6"/>
  <c r="H35" i="6" s="1"/>
  <c r="G34" i="6"/>
  <c r="H34" i="6" s="1"/>
  <c r="D33" i="6"/>
  <c r="E33" i="6" s="1"/>
  <c r="D31" i="6"/>
  <c r="E31" i="6" s="1"/>
  <c r="G25" i="6"/>
  <c r="H25" i="6" s="1"/>
  <c r="G22" i="6"/>
  <c r="H22" i="6" s="1"/>
  <c r="G19" i="6"/>
  <c r="H19" i="6" s="1"/>
  <c r="D19" i="6"/>
  <c r="E19" i="6" s="1"/>
  <c r="G16" i="6"/>
  <c r="H16" i="6" s="1"/>
  <c r="G11" i="6"/>
  <c r="H11" i="6" s="1"/>
  <c r="E11" i="6"/>
  <c r="G10" i="6"/>
  <c r="H10" i="6" s="1"/>
  <c r="G6" i="6"/>
  <c r="H6" i="6" s="1"/>
  <c r="G5" i="6"/>
  <c r="H5" i="6" s="1"/>
  <c r="E5" i="6"/>
  <c r="E6" i="6"/>
  <c r="E7" i="6"/>
  <c r="E8" i="6"/>
  <c r="E9" i="6"/>
  <c r="E10" i="6"/>
  <c r="E12" i="6"/>
  <c r="E13" i="6"/>
  <c r="E14" i="6"/>
  <c r="E15" i="6"/>
  <c r="E16" i="6"/>
  <c r="E17" i="6"/>
  <c r="E18" i="6"/>
  <c r="E20" i="6"/>
  <c r="E21" i="6"/>
  <c r="E22" i="6"/>
  <c r="E23" i="6"/>
  <c r="E24" i="6"/>
  <c r="E25" i="6"/>
  <c r="E26" i="6"/>
  <c r="E27" i="6"/>
  <c r="E28" i="6"/>
  <c r="E29" i="6"/>
  <c r="E30" i="6"/>
  <c r="E32" i="6"/>
  <c r="E34" i="6"/>
  <c r="E35" i="6"/>
  <c r="E36" i="6"/>
  <c r="E37" i="6"/>
  <c r="E38" i="6"/>
  <c r="E39" i="6"/>
  <c r="AN42" i="6"/>
  <c r="AM42" i="6"/>
  <c r="AL42" i="6"/>
  <c r="AK42" i="6"/>
  <c r="AJ42" i="6"/>
  <c r="AI42" i="6"/>
  <c r="AH42" i="6"/>
  <c r="AE42" i="6"/>
  <c r="AD42" i="6"/>
  <c r="AC42" i="6"/>
  <c r="AB42" i="6"/>
  <c r="AA42" i="6"/>
  <c r="Z42" i="6"/>
  <c r="W42" i="6"/>
  <c r="V42" i="6"/>
  <c r="U42" i="6"/>
  <c r="T42" i="6"/>
  <c r="S42" i="6"/>
  <c r="R42" i="6"/>
  <c r="O42" i="6"/>
  <c r="N42" i="6"/>
  <c r="M42" i="6"/>
  <c r="L42" i="6"/>
  <c r="K42" i="6"/>
  <c r="J42" i="6"/>
  <c r="AN41" i="6"/>
  <c r="AM41" i="6"/>
  <c r="AL41" i="6"/>
  <c r="AK41" i="6"/>
  <c r="AJ41" i="6"/>
  <c r="AI41" i="6"/>
  <c r="AH41" i="6"/>
  <c r="AE41" i="6"/>
  <c r="AD41" i="6"/>
  <c r="AC41" i="6"/>
  <c r="AB41" i="6"/>
  <c r="AA41" i="6"/>
  <c r="Z41" i="6"/>
  <c r="W41" i="6"/>
  <c r="V41" i="6"/>
  <c r="U41" i="6"/>
  <c r="T41" i="6"/>
  <c r="S41" i="6"/>
  <c r="R41" i="6"/>
  <c r="O41" i="6"/>
  <c r="N41" i="6"/>
  <c r="M41" i="6"/>
  <c r="L41" i="6"/>
  <c r="K41" i="6"/>
  <c r="J41" i="6"/>
  <c r="AN40" i="6"/>
  <c r="AM40" i="6"/>
  <c r="AL40" i="6"/>
  <c r="AK40" i="6"/>
  <c r="AJ40" i="6"/>
  <c r="AI40" i="6"/>
  <c r="AH40" i="6"/>
  <c r="AE40" i="6"/>
  <c r="AD40" i="6"/>
  <c r="AC40" i="6"/>
  <c r="AB40" i="6"/>
  <c r="AA40" i="6"/>
  <c r="Z40" i="6"/>
  <c r="W40" i="6"/>
  <c r="V40" i="6"/>
  <c r="U40" i="6"/>
  <c r="T40" i="6"/>
  <c r="S40" i="6"/>
  <c r="R40" i="6"/>
  <c r="O40" i="6"/>
  <c r="N40" i="6"/>
  <c r="M40" i="6"/>
  <c r="L40" i="6"/>
  <c r="K40" i="6"/>
  <c r="J40" i="6"/>
  <c r="AO39" i="6"/>
  <c r="AF39" i="6"/>
  <c r="X39" i="6"/>
  <c r="P39" i="6"/>
  <c r="I39" i="6"/>
  <c r="H39" i="6"/>
  <c r="AO38" i="6"/>
  <c r="AF38" i="6"/>
  <c r="X38" i="6"/>
  <c r="P38" i="6"/>
  <c r="I38" i="6"/>
  <c r="H38" i="6"/>
  <c r="AO37" i="6"/>
  <c r="AF37" i="6"/>
  <c r="X37" i="6"/>
  <c r="P37" i="6"/>
  <c r="I37" i="6"/>
  <c r="H37" i="6"/>
  <c r="AO36" i="6"/>
  <c r="AF36" i="6"/>
  <c r="X36" i="6"/>
  <c r="P36" i="6"/>
  <c r="I36" i="6"/>
  <c r="H36" i="6"/>
  <c r="AO35" i="6"/>
  <c r="AF35" i="6"/>
  <c r="X35" i="6"/>
  <c r="P35" i="6"/>
  <c r="I35" i="6"/>
  <c r="AO34" i="6"/>
  <c r="AF34" i="6"/>
  <c r="X34" i="6"/>
  <c r="P34" i="6"/>
  <c r="I34" i="6"/>
  <c r="AO33" i="6"/>
  <c r="AF33" i="6"/>
  <c r="X33" i="6"/>
  <c r="P33" i="6"/>
  <c r="I33" i="6"/>
  <c r="H33" i="6"/>
  <c r="AO32" i="6"/>
  <c r="AF32" i="6"/>
  <c r="X32" i="6"/>
  <c r="P32" i="6"/>
  <c r="I32" i="6"/>
  <c r="H32" i="6"/>
  <c r="AO31" i="6"/>
  <c r="AF31" i="6"/>
  <c r="X31" i="6"/>
  <c r="P31" i="6"/>
  <c r="I31" i="6"/>
  <c r="H31" i="6"/>
  <c r="AO30" i="6"/>
  <c r="AF30" i="6"/>
  <c r="X30" i="6"/>
  <c r="P30" i="6"/>
  <c r="I30" i="6"/>
  <c r="H30" i="6"/>
  <c r="AO29" i="6"/>
  <c r="AF29" i="6"/>
  <c r="X29" i="6"/>
  <c r="P29" i="6"/>
  <c r="I29" i="6"/>
  <c r="H29" i="6"/>
  <c r="AO28" i="6"/>
  <c r="AF28" i="6"/>
  <c r="X28" i="6"/>
  <c r="P28" i="6"/>
  <c r="I28" i="6"/>
  <c r="H28" i="6"/>
  <c r="AO27" i="6"/>
  <c r="AF27" i="6"/>
  <c r="X27" i="6"/>
  <c r="P27" i="6"/>
  <c r="I27" i="6"/>
  <c r="H27" i="6"/>
  <c r="AO26" i="6"/>
  <c r="AF26" i="6"/>
  <c r="X26" i="6"/>
  <c r="P26" i="6"/>
  <c r="I26" i="6"/>
  <c r="H26" i="6"/>
  <c r="AO25" i="6"/>
  <c r="AF25" i="6"/>
  <c r="X25" i="6"/>
  <c r="P25" i="6"/>
  <c r="I25" i="6"/>
  <c r="AO24" i="6"/>
  <c r="AF24" i="6"/>
  <c r="X24" i="6"/>
  <c r="P24" i="6"/>
  <c r="I24" i="6"/>
  <c r="H24" i="6"/>
  <c r="AO23" i="6"/>
  <c r="AF23" i="6"/>
  <c r="X23" i="6"/>
  <c r="P23" i="6"/>
  <c r="I23" i="6"/>
  <c r="H23" i="6"/>
  <c r="AO22" i="6"/>
  <c r="AF22" i="6"/>
  <c r="X22" i="6"/>
  <c r="P22" i="6"/>
  <c r="I22" i="6"/>
  <c r="AO21" i="6"/>
  <c r="AF21" i="6"/>
  <c r="X21" i="6"/>
  <c r="P21" i="6"/>
  <c r="I21" i="6"/>
  <c r="H21" i="6"/>
  <c r="AO20" i="6"/>
  <c r="AF20" i="6"/>
  <c r="X20" i="6"/>
  <c r="P20" i="6"/>
  <c r="I20" i="6"/>
  <c r="H20" i="6"/>
  <c r="AO19" i="6"/>
  <c r="AF19" i="6"/>
  <c r="X19" i="6"/>
  <c r="P19" i="6"/>
  <c r="I19" i="6"/>
  <c r="AO18" i="6"/>
  <c r="AF18" i="6"/>
  <c r="X18" i="6"/>
  <c r="P18" i="6"/>
  <c r="I18" i="6"/>
  <c r="H18" i="6"/>
  <c r="AO17" i="6"/>
  <c r="AF17" i="6"/>
  <c r="X17" i="6"/>
  <c r="P17" i="6"/>
  <c r="I17" i="6"/>
  <c r="H17" i="6"/>
  <c r="AO16" i="6"/>
  <c r="AF16" i="6"/>
  <c r="X16" i="6"/>
  <c r="P16" i="6"/>
  <c r="I16" i="6"/>
  <c r="AO15" i="6"/>
  <c r="AF15" i="6"/>
  <c r="X15" i="6"/>
  <c r="P15" i="6"/>
  <c r="I15" i="6"/>
  <c r="H15" i="6"/>
  <c r="AO14" i="6"/>
  <c r="AF14" i="6"/>
  <c r="X14" i="6"/>
  <c r="P14" i="6"/>
  <c r="I14" i="6"/>
  <c r="H14" i="6"/>
  <c r="AO13" i="6"/>
  <c r="AF13" i="6"/>
  <c r="X13" i="6"/>
  <c r="P13" i="6"/>
  <c r="I13" i="6"/>
  <c r="AO12" i="6"/>
  <c r="AF12" i="6"/>
  <c r="X12" i="6"/>
  <c r="P12" i="6"/>
  <c r="I12" i="6"/>
  <c r="H12" i="6"/>
  <c r="AO11" i="6"/>
  <c r="AF11" i="6"/>
  <c r="X11" i="6"/>
  <c r="P11" i="6"/>
  <c r="I11" i="6"/>
  <c r="AO10" i="6"/>
  <c r="AF10" i="6"/>
  <c r="X10" i="6"/>
  <c r="P10" i="6"/>
  <c r="I10" i="6"/>
  <c r="AO9" i="6"/>
  <c r="AF9" i="6"/>
  <c r="X9" i="6"/>
  <c r="P9" i="6"/>
  <c r="I9" i="6"/>
  <c r="H9" i="6"/>
  <c r="AO8" i="6"/>
  <c r="AF8" i="6"/>
  <c r="X8" i="6"/>
  <c r="P8" i="6"/>
  <c r="I8" i="6"/>
  <c r="H8" i="6"/>
  <c r="AO7" i="6"/>
  <c r="AF7" i="6"/>
  <c r="X7" i="6"/>
  <c r="P7" i="6"/>
  <c r="I7" i="6"/>
  <c r="H7" i="6"/>
  <c r="AO6" i="6"/>
  <c r="AF6" i="6"/>
  <c r="X6" i="6"/>
  <c r="P6" i="6"/>
  <c r="I6" i="6"/>
  <c r="AO5" i="6"/>
  <c r="AF5" i="6"/>
  <c r="X5" i="6"/>
  <c r="P5" i="6"/>
  <c r="I5" i="6"/>
  <c r="AO4" i="6"/>
  <c r="AF4" i="6"/>
  <c r="X4" i="6"/>
  <c r="P4" i="6"/>
  <c r="I4" i="6"/>
  <c r="H4" i="6"/>
  <c r="H13" i="7" l="1"/>
  <c r="H35" i="7"/>
  <c r="H34" i="7"/>
  <c r="H22" i="7"/>
  <c r="H19" i="7"/>
  <c r="H6" i="7"/>
  <c r="AO40" i="7"/>
  <c r="AH43" i="7"/>
  <c r="AF41" i="7"/>
  <c r="R43" i="7"/>
  <c r="AF40" i="7"/>
  <c r="AO41" i="7"/>
  <c r="AO42" i="7"/>
  <c r="AF42" i="7"/>
  <c r="Z43" i="7"/>
  <c r="X40" i="7"/>
  <c r="X42" i="7"/>
  <c r="X41" i="7"/>
  <c r="P42" i="7"/>
  <c r="P40" i="7"/>
  <c r="K43" i="7"/>
  <c r="I40" i="7"/>
  <c r="P41" i="7"/>
  <c r="P42" i="6"/>
  <c r="AO42" i="6"/>
  <c r="P41" i="6"/>
  <c r="AF42" i="6"/>
  <c r="K43" i="6"/>
  <c r="AO40" i="6"/>
  <c r="X41" i="6"/>
  <c r="AF41" i="6"/>
  <c r="AH43" i="6"/>
  <c r="AO41" i="6"/>
  <c r="AF40" i="6"/>
  <c r="Z43" i="6"/>
  <c r="X42" i="6"/>
  <c r="X40" i="6"/>
  <c r="R43" i="6"/>
  <c r="I40" i="6"/>
  <c r="P40" i="6"/>
  <c r="AO43" i="7" l="1"/>
  <c r="AO43" i="6"/>
  <c r="AO41" i="3"/>
  <c r="AO42" i="3"/>
  <c r="P41" i="3" l="1"/>
  <c r="E4" i="3"/>
  <c r="F19" i="3"/>
  <c r="AN42" i="4"/>
  <c r="AM42" i="4"/>
  <c r="AL42" i="4"/>
  <c r="AK42" i="4"/>
  <c r="AJ42" i="4"/>
  <c r="AI42" i="4"/>
  <c r="AH42" i="4"/>
  <c r="AE42" i="4"/>
  <c r="AD42" i="4"/>
  <c r="AC42" i="4"/>
  <c r="AB42" i="4"/>
  <c r="AA42" i="4"/>
  <c r="Z42" i="4"/>
  <c r="W42" i="4"/>
  <c r="V42" i="4"/>
  <c r="U42" i="4"/>
  <c r="T42" i="4"/>
  <c r="S42" i="4"/>
  <c r="R42" i="4"/>
  <c r="O42" i="4"/>
  <c r="N42" i="4"/>
  <c r="M42" i="4"/>
  <c r="L42" i="4"/>
  <c r="K42" i="4"/>
  <c r="J42" i="4"/>
  <c r="AN41" i="4"/>
  <c r="AM41" i="4"/>
  <c r="AL41" i="4"/>
  <c r="AK41" i="4"/>
  <c r="AJ41" i="4"/>
  <c r="AI41" i="4"/>
  <c r="AH41" i="4"/>
  <c r="AH43" i="4" s="1"/>
  <c r="AE41" i="4"/>
  <c r="AD41" i="4"/>
  <c r="AC41" i="4"/>
  <c r="AB41" i="4"/>
  <c r="AA41" i="4"/>
  <c r="Z41" i="4"/>
  <c r="Z43" i="4" s="1"/>
  <c r="W41" i="4"/>
  <c r="V41" i="4"/>
  <c r="R43" i="4" s="1"/>
  <c r="U41" i="4"/>
  <c r="T41" i="4"/>
  <c r="S41" i="4"/>
  <c r="R41" i="4"/>
  <c r="O41" i="4"/>
  <c r="N41" i="4"/>
  <c r="M41" i="4"/>
  <c r="L41" i="4"/>
  <c r="K43" i="4" s="1"/>
  <c r="K41" i="4"/>
  <c r="J41" i="4"/>
  <c r="AN40" i="4"/>
  <c r="AM40" i="4"/>
  <c r="AL40" i="4"/>
  <c r="AK40" i="4"/>
  <c r="AJ40" i="4"/>
  <c r="AI40" i="4"/>
  <c r="AH40" i="4"/>
  <c r="AE40" i="4"/>
  <c r="AD40" i="4"/>
  <c r="AC40" i="4"/>
  <c r="AB40" i="4"/>
  <c r="AA40" i="4"/>
  <c r="Z40" i="4"/>
  <c r="W40" i="4"/>
  <c r="V40" i="4"/>
  <c r="U40" i="4"/>
  <c r="T40" i="4"/>
  <c r="S40" i="4"/>
  <c r="R40" i="4"/>
  <c r="O40" i="4"/>
  <c r="N40" i="4"/>
  <c r="M40" i="4"/>
  <c r="L40" i="4"/>
  <c r="K40" i="4"/>
  <c r="J40" i="4"/>
  <c r="AO39" i="4"/>
  <c r="AF39" i="4"/>
  <c r="X39" i="4"/>
  <c r="P39" i="4"/>
  <c r="I39" i="4"/>
  <c r="H39" i="4"/>
  <c r="E39" i="4"/>
  <c r="AO38" i="4"/>
  <c r="AF38" i="4"/>
  <c r="X38" i="4"/>
  <c r="P38" i="4"/>
  <c r="I38" i="4"/>
  <c r="H38" i="4"/>
  <c r="E38" i="4"/>
  <c r="AO37" i="4"/>
  <c r="AF37" i="4"/>
  <c r="X37" i="4"/>
  <c r="P37" i="4"/>
  <c r="I37" i="4"/>
  <c r="H37" i="4"/>
  <c r="G37" i="4"/>
  <c r="E37" i="4"/>
  <c r="AO36" i="4"/>
  <c r="AF36" i="4"/>
  <c r="X36" i="4"/>
  <c r="P36" i="4"/>
  <c r="I36" i="4"/>
  <c r="H36" i="4"/>
  <c r="AO35" i="4"/>
  <c r="AF35" i="4"/>
  <c r="X35" i="4"/>
  <c r="P35" i="4"/>
  <c r="I35" i="4"/>
  <c r="G35" i="4"/>
  <c r="H35" i="4" s="1"/>
  <c r="E35" i="4"/>
  <c r="AO34" i="4"/>
  <c r="AF34" i="4"/>
  <c r="X34" i="4"/>
  <c r="P34" i="4"/>
  <c r="I34" i="4"/>
  <c r="H34" i="4"/>
  <c r="G34" i="4"/>
  <c r="E34" i="4"/>
  <c r="AO33" i="4"/>
  <c r="AF33" i="4"/>
  <c r="X33" i="4"/>
  <c r="P33" i="4"/>
  <c r="I33" i="4"/>
  <c r="G33" i="4"/>
  <c r="H33" i="4" s="1"/>
  <c r="E33" i="4"/>
  <c r="AO32" i="4"/>
  <c r="AF32" i="4"/>
  <c r="X32" i="4"/>
  <c r="P32" i="4"/>
  <c r="I32" i="4"/>
  <c r="H32" i="4"/>
  <c r="E32" i="4"/>
  <c r="AO31" i="4"/>
  <c r="AF31" i="4"/>
  <c r="X31" i="4"/>
  <c r="P31" i="4"/>
  <c r="I31" i="4"/>
  <c r="H31" i="4"/>
  <c r="E31" i="4"/>
  <c r="AO30" i="4"/>
  <c r="AF30" i="4"/>
  <c r="X30" i="4"/>
  <c r="P30" i="4"/>
  <c r="I30" i="4"/>
  <c r="H30" i="4"/>
  <c r="G30" i="4"/>
  <c r="E30" i="4"/>
  <c r="AO29" i="4"/>
  <c r="AF29" i="4"/>
  <c r="X29" i="4"/>
  <c r="P29" i="4"/>
  <c r="I29" i="4"/>
  <c r="H29" i="4"/>
  <c r="E29" i="4"/>
  <c r="AO28" i="4"/>
  <c r="AF28" i="4"/>
  <c r="X28" i="4"/>
  <c r="P28" i="4"/>
  <c r="I28" i="4"/>
  <c r="H28" i="4"/>
  <c r="E28" i="4"/>
  <c r="AO27" i="4"/>
  <c r="AF27" i="4"/>
  <c r="X27" i="4"/>
  <c r="P27" i="4"/>
  <c r="P42" i="4" s="1"/>
  <c r="I27" i="4"/>
  <c r="H27" i="4"/>
  <c r="E27" i="4"/>
  <c r="AO26" i="4"/>
  <c r="AF26" i="4"/>
  <c r="X26" i="4"/>
  <c r="P26" i="4"/>
  <c r="I26" i="4"/>
  <c r="H26" i="4"/>
  <c r="E26" i="4"/>
  <c r="AO25" i="4"/>
  <c r="AF25" i="4"/>
  <c r="X25" i="4"/>
  <c r="P25" i="4"/>
  <c r="I25" i="4"/>
  <c r="H25" i="4"/>
  <c r="E25" i="4"/>
  <c r="AO24" i="4"/>
  <c r="AO42" i="4" s="1"/>
  <c r="AF24" i="4"/>
  <c r="AF42" i="4" s="1"/>
  <c r="X24" i="4"/>
  <c r="X42" i="4" s="1"/>
  <c r="P24" i="4"/>
  <c r="I24" i="4"/>
  <c r="H24" i="4"/>
  <c r="E24" i="4"/>
  <c r="AO23" i="4"/>
  <c r="AF23" i="4"/>
  <c r="X23" i="4"/>
  <c r="P23" i="4"/>
  <c r="I23" i="4"/>
  <c r="H23" i="4"/>
  <c r="E23" i="4"/>
  <c r="AO22" i="4"/>
  <c r="AF22" i="4"/>
  <c r="X22" i="4"/>
  <c r="P22" i="4"/>
  <c r="I22" i="4"/>
  <c r="H22" i="4"/>
  <c r="G22" i="4"/>
  <c r="E22" i="4"/>
  <c r="AO21" i="4"/>
  <c r="AF21" i="4"/>
  <c r="X21" i="4"/>
  <c r="P21" i="4"/>
  <c r="I21" i="4"/>
  <c r="H21" i="4"/>
  <c r="E21" i="4"/>
  <c r="AO20" i="4"/>
  <c r="AF20" i="4"/>
  <c r="X20" i="4"/>
  <c r="P20" i="4"/>
  <c r="I20" i="4"/>
  <c r="H20" i="4"/>
  <c r="G20" i="4"/>
  <c r="E20" i="4"/>
  <c r="AO19" i="4"/>
  <c r="AF19" i="4"/>
  <c r="X19" i="4"/>
  <c r="P19" i="4"/>
  <c r="I19" i="4"/>
  <c r="H19" i="4"/>
  <c r="G19" i="4"/>
  <c r="E19" i="4"/>
  <c r="AO18" i="4"/>
  <c r="AF18" i="4"/>
  <c r="X18" i="4"/>
  <c r="P18" i="4"/>
  <c r="I18" i="4"/>
  <c r="H18" i="4"/>
  <c r="E18" i="4"/>
  <c r="AO17" i="4"/>
  <c r="AF17" i="4"/>
  <c r="X17" i="4"/>
  <c r="P17" i="4"/>
  <c r="I17" i="4"/>
  <c r="H17" i="4"/>
  <c r="E17" i="4"/>
  <c r="AO16" i="4"/>
  <c r="AF16" i="4"/>
  <c r="X16" i="4"/>
  <c r="P16" i="4"/>
  <c r="I16" i="4"/>
  <c r="H16" i="4"/>
  <c r="G16" i="4"/>
  <c r="E16" i="4"/>
  <c r="AO15" i="4"/>
  <c r="AF15" i="4"/>
  <c r="X15" i="4"/>
  <c r="P15" i="4"/>
  <c r="I15" i="4"/>
  <c r="H15" i="4"/>
  <c r="E15" i="4"/>
  <c r="AO14" i="4"/>
  <c r="AF14" i="4"/>
  <c r="X14" i="4"/>
  <c r="P14" i="4"/>
  <c r="I14" i="4"/>
  <c r="H14" i="4"/>
  <c r="E14" i="4"/>
  <c r="AO13" i="4"/>
  <c r="AF13" i="4"/>
  <c r="X13" i="4"/>
  <c r="P13" i="4"/>
  <c r="I13" i="4"/>
  <c r="G13" i="4"/>
  <c r="H13" i="4" s="1"/>
  <c r="E13" i="4"/>
  <c r="AO12" i="4"/>
  <c r="AF12" i="4"/>
  <c r="X12" i="4"/>
  <c r="P12" i="4"/>
  <c r="I12" i="4"/>
  <c r="H12" i="4"/>
  <c r="E12" i="4"/>
  <c r="AO11" i="4"/>
  <c r="AF11" i="4"/>
  <c r="X11" i="4"/>
  <c r="P11" i="4"/>
  <c r="I11" i="4"/>
  <c r="H11" i="4"/>
  <c r="E11" i="4"/>
  <c r="AO10" i="4"/>
  <c r="AF10" i="4"/>
  <c r="X10" i="4"/>
  <c r="P10" i="4"/>
  <c r="I10" i="4"/>
  <c r="G10" i="4"/>
  <c r="H10" i="4" s="1"/>
  <c r="E10" i="4"/>
  <c r="AO9" i="4"/>
  <c r="AF9" i="4"/>
  <c r="X9" i="4"/>
  <c r="P9" i="4"/>
  <c r="I9" i="4"/>
  <c r="G9" i="4"/>
  <c r="H9" i="4" s="1"/>
  <c r="E9" i="4"/>
  <c r="AO8" i="4"/>
  <c r="AF8" i="4"/>
  <c r="X8" i="4"/>
  <c r="P8" i="4"/>
  <c r="I8" i="4"/>
  <c r="H8" i="4"/>
  <c r="E8" i="4"/>
  <c r="AO7" i="4"/>
  <c r="AF7" i="4"/>
  <c r="X7" i="4"/>
  <c r="P7" i="4"/>
  <c r="I7" i="4"/>
  <c r="H7" i="4"/>
  <c r="E7" i="4"/>
  <c r="AO6" i="4"/>
  <c r="AF6" i="4"/>
  <c r="X6" i="4"/>
  <c r="P6" i="4"/>
  <c r="I6" i="4"/>
  <c r="H6" i="4"/>
  <c r="E6" i="4"/>
  <c r="AO5" i="4"/>
  <c r="AF5" i="4"/>
  <c r="X5" i="4"/>
  <c r="P5" i="4"/>
  <c r="I5" i="4"/>
  <c r="G5" i="4"/>
  <c r="H5" i="4" s="1"/>
  <c r="E5" i="4"/>
  <c r="AO4" i="4"/>
  <c r="AO41" i="4" s="1"/>
  <c r="AF4" i="4"/>
  <c r="AF41" i="4" s="1"/>
  <c r="X4" i="4"/>
  <c r="X41" i="4" s="1"/>
  <c r="P4" i="4"/>
  <c r="P41" i="4" s="1"/>
  <c r="I4" i="4"/>
  <c r="I40" i="4" s="1"/>
  <c r="H4" i="4"/>
  <c r="E4" i="4"/>
  <c r="AO43" i="4" l="1"/>
  <c r="H10" i="3"/>
  <c r="X4" i="3" l="1"/>
  <c r="E8" i="3" l="1"/>
  <c r="E14" i="3"/>
  <c r="E15" i="3"/>
  <c r="E18" i="3"/>
  <c r="E19" i="3"/>
  <c r="E21" i="3"/>
  <c r="E24" i="3"/>
  <c r="E29" i="3"/>
  <c r="J41" i="3" l="1"/>
  <c r="Z40" i="3" l="1"/>
  <c r="AA40" i="3"/>
  <c r="AF40" i="3" l="1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1" i="3" l="1"/>
  <c r="H37" i="3"/>
  <c r="I37" i="3"/>
  <c r="AF15" i="3"/>
  <c r="P4" i="3"/>
  <c r="M42" i="3"/>
  <c r="M41" i="3"/>
  <c r="M40" i="3"/>
  <c r="I30" i="3"/>
  <c r="P25" i="3" l="1"/>
  <c r="I15" i="3" l="1"/>
  <c r="H32" i="3"/>
  <c r="H19" i="3" l="1"/>
  <c r="H26" i="3" l="1"/>
  <c r="H22" i="3"/>
  <c r="AN42" i="3" l="1"/>
  <c r="AM42" i="3"/>
  <c r="AL42" i="3"/>
  <c r="AK42" i="3"/>
  <c r="AJ42" i="3"/>
  <c r="AI42" i="3"/>
  <c r="AH42" i="3"/>
  <c r="AE42" i="3"/>
  <c r="AD42" i="3"/>
  <c r="AC42" i="3"/>
  <c r="AB42" i="3"/>
  <c r="AA42" i="3"/>
  <c r="Z42" i="3"/>
  <c r="W42" i="3"/>
  <c r="V42" i="3"/>
  <c r="U42" i="3"/>
  <c r="T42" i="3"/>
  <c r="S42" i="3"/>
  <c r="R42" i="3"/>
  <c r="O42" i="3"/>
  <c r="N42" i="3"/>
  <c r="L42" i="3"/>
  <c r="K42" i="3"/>
  <c r="J42" i="3"/>
  <c r="AN41" i="3"/>
  <c r="AM41" i="3"/>
  <c r="AL41" i="3"/>
  <c r="AK41" i="3"/>
  <c r="AJ41" i="3"/>
  <c r="AI41" i="3"/>
  <c r="AH41" i="3"/>
  <c r="AE41" i="3"/>
  <c r="AD41" i="3"/>
  <c r="AC41" i="3"/>
  <c r="AB41" i="3"/>
  <c r="AA41" i="3"/>
  <c r="Z41" i="3"/>
  <c r="W41" i="3"/>
  <c r="V41" i="3"/>
  <c r="U41" i="3"/>
  <c r="T41" i="3"/>
  <c r="S41" i="3"/>
  <c r="R41" i="3"/>
  <c r="O41" i="3"/>
  <c r="N41" i="3"/>
  <c r="L41" i="3"/>
  <c r="K41" i="3"/>
  <c r="AN40" i="3"/>
  <c r="AM40" i="3"/>
  <c r="AL40" i="3"/>
  <c r="AK40" i="3"/>
  <c r="AJ40" i="3"/>
  <c r="AI40" i="3"/>
  <c r="AH40" i="3"/>
  <c r="AE40" i="3"/>
  <c r="AD40" i="3"/>
  <c r="AC40" i="3"/>
  <c r="AB40" i="3"/>
  <c r="W40" i="3"/>
  <c r="V40" i="3"/>
  <c r="U40" i="3"/>
  <c r="T40" i="3"/>
  <c r="S40" i="3"/>
  <c r="R40" i="3"/>
  <c r="O40" i="3"/>
  <c r="N40" i="3"/>
  <c r="L40" i="3"/>
  <c r="K40" i="3"/>
  <c r="J40" i="3"/>
  <c r="P40" i="3" s="1"/>
  <c r="AO39" i="3"/>
  <c r="AF39" i="3"/>
  <c r="P39" i="3"/>
  <c r="I39" i="3"/>
  <c r="H39" i="3"/>
  <c r="AO38" i="3"/>
  <c r="AF38" i="3"/>
  <c r="P38" i="3"/>
  <c r="I38" i="3"/>
  <c r="H38" i="3"/>
  <c r="AO37" i="3"/>
  <c r="AF37" i="3"/>
  <c r="P37" i="3"/>
  <c r="AO36" i="3"/>
  <c r="AF36" i="3"/>
  <c r="P36" i="3"/>
  <c r="I36" i="3"/>
  <c r="H36" i="3"/>
  <c r="AO35" i="3"/>
  <c r="AF35" i="3"/>
  <c r="P35" i="3"/>
  <c r="I35" i="3"/>
  <c r="H35" i="3"/>
  <c r="AO34" i="3"/>
  <c r="AF34" i="3"/>
  <c r="P34" i="3"/>
  <c r="I34" i="3"/>
  <c r="H34" i="3"/>
  <c r="AO33" i="3"/>
  <c r="AF33" i="3"/>
  <c r="P33" i="3"/>
  <c r="I33" i="3"/>
  <c r="H33" i="3"/>
  <c r="AO32" i="3"/>
  <c r="AF32" i="3"/>
  <c r="P32" i="3"/>
  <c r="I32" i="3"/>
  <c r="AO31" i="3"/>
  <c r="AF31" i="3"/>
  <c r="P31" i="3"/>
  <c r="I31" i="3"/>
  <c r="H31" i="3"/>
  <c r="AO30" i="3"/>
  <c r="AF30" i="3"/>
  <c r="P30" i="3"/>
  <c r="H30" i="3"/>
  <c r="AO29" i="3"/>
  <c r="AF29" i="3"/>
  <c r="P29" i="3"/>
  <c r="I29" i="3"/>
  <c r="H29" i="3"/>
  <c r="AO28" i="3"/>
  <c r="AF28" i="3"/>
  <c r="P28" i="3"/>
  <c r="I28" i="3"/>
  <c r="H28" i="3"/>
  <c r="AO27" i="3"/>
  <c r="AF27" i="3"/>
  <c r="P27" i="3"/>
  <c r="I27" i="3"/>
  <c r="H27" i="3"/>
  <c r="AO26" i="3"/>
  <c r="AF26" i="3"/>
  <c r="P26" i="3"/>
  <c r="I26" i="3"/>
  <c r="AO25" i="3"/>
  <c r="AF25" i="3"/>
  <c r="I25" i="3"/>
  <c r="H25" i="3"/>
  <c r="AO24" i="3"/>
  <c r="AF24" i="3"/>
  <c r="P24" i="3"/>
  <c r="I24" i="3"/>
  <c r="H24" i="3"/>
  <c r="AO23" i="3"/>
  <c r="AF23" i="3"/>
  <c r="P23" i="3"/>
  <c r="I23" i="3"/>
  <c r="H23" i="3"/>
  <c r="AO22" i="3"/>
  <c r="AF22" i="3"/>
  <c r="P22" i="3"/>
  <c r="I22" i="3"/>
  <c r="AO21" i="3"/>
  <c r="AF21" i="3"/>
  <c r="P21" i="3"/>
  <c r="I21" i="3"/>
  <c r="H21" i="3"/>
  <c r="AO20" i="3"/>
  <c r="AF20" i="3"/>
  <c r="P20" i="3"/>
  <c r="I20" i="3"/>
  <c r="H20" i="3"/>
  <c r="AO19" i="3"/>
  <c r="AF19" i="3"/>
  <c r="P19" i="3"/>
  <c r="I19" i="3"/>
  <c r="AO18" i="3"/>
  <c r="AF18" i="3"/>
  <c r="P18" i="3"/>
  <c r="I18" i="3"/>
  <c r="H18" i="3"/>
  <c r="AO17" i="3"/>
  <c r="AF17" i="3"/>
  <c r="P17" i="3"/>
  <c r="I17" i="3"/>
  <c r="H17" i="3"/>
  <c r="AO16" i="3"/>
  <c r="AF16" i="3"/>
  <c r="P16" i="3"/>
  <c r="I16" i="3"/>
  <c r="H16" i="3"/>
  <c r="AO15" i="3"/>
  <c r="P15" i="3"/>
  <c r="H15" i="3"/>
  <c r="AO14" i="3"/>
  <c r="AF14" i="3"/>
  <c r="P14" i="3"/>
  <c r="I14" i="3"/>
  <c r="H14" i="3"/>
  <c r="AO13" i="3"/>
  <c r="AF13" i="3"/>
  <c r="P13" i="3"/>
  <c r="I13" i="3"/>
  <c r="H13" i="3"/>
  <c r="AO12" i="3"/>
  <c r="AF12" i="3"/>
  <c r="P12" i="3"/>
  <c r="I12" i="3"/>
  <c r="H12" i="3"/>
  <c r="AO11" i="3"/>
  <c r="AF11" i="3"/>
  <c r="P11" i="3"/>
  <c r="I11" i="3"/>
  <c r="H11" i="3"/>
  <c r="AO10" i="3"/>
  <c r="AF10" i="3"/>
  <c r="P10" i="3"/>
  <c r="I10" i="3"/>
  <c r="AO9" i="3"/>
  <c r="AF9" i="3"/>
  <c r="P9" i="3"/>
  <c r="I9" i="3"/>
  <c r="H9" i="3"/>
  <c r="AO8" i="3"/>
  <c r="AF8" i="3"/>
  <c r="P8" i="3"/>
  <c r="I8" i="3"/>
  <c r="H8" i="3"/>
  <c r="AO7" i="3"/>
  <c r="AF7" i="3"/>
  <c r="P7" i="3"/>
  <c r="I7" i="3"/>
  <c r="H7" i="3"/>
  <c r="AO6" i="3"/>
  <c r="AF6" i="3"/>
  <c r="P6" i="3"/>
  <c r="I6" i="3"/>
  <c r="H6" i="3"/>
  <c r="AO5" i="3"/>
  <c r="AF5" i="3"/>
  <c r="P5" i="3"/>
  <c r="I5" i="3"/>
  <c r="H5" i="3"/>
  <c r="AO4" i="3"/>
  <c r="AF4" i="3"/>
  <c r="I4" i="3"/>
  <c r="H4" i="3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" i="1"/>
  <c r="I5" i="1"/>
  <c r="I6" i="1"/>
  <c r="X40" i="3" l="1"/>
  <c r="AO40" i="3"/>
  <c r="I40" i="3"/>
  <c r="K43" i="3"/>
  <c r="AH43" i="3"/>
  <c r="R43" i="3"/>
  <c r="Z43" i="3"/>
  <c r="X42" i="3"/>
  <c r="AF42" i="3"/>
  <c r="AF41" i="3"/>
  <c r="P42" i="3"/>
  <c r="I40" i="1"/>
  <c r="H11" i="1"/>
  <c r="AO43" i="3" l="1"/>
  <c r="AD42" i="1"/>
  <c r="AC42" i="1"/>
  <c r="AB42" i="1"/>
  <c r="AA42" i="1"/>
  <c r="Z42" i="1"/>
  <c r="Y42" i="1"/>
  <c r="AD41" i="1"/>
  <c r="AC41" i="1"/>
  <c r="AB41" i="1"/>
  <c r="AA41" i="1"/>
  <c r="Z41" i="1"/>
  <c r="Y41" i="1"/>
  <c r="AD40" i="1"/>
  <c r="AC40" i="1"/>
  <c r="AB40" i="1"/>
  <c r="AA40" i="1"/>
  <c r="Z40" i="1"/>
  <c r="Y40" i="1"/>
  <c r="AE39" i="1"/>
  <c r="AE38" i="1"/>
  <c r="AE37" i="1"/>
  <c r="AE36" i="1"/>
  <c r="AE35" i="1"/>
  <c r="AE34" i="1"/>
  <c r="AE33" i="1"/>
  <c r="AE32" i="1"/>
  <c r="AE31" i="1"/>
  <c r="AE30" i="1"/>
  <c r="AE29" i="1"/>
  <c r="AE28" i="1"/>
  <c r="AE27" i="1"/>
  <c r="AE26" i="1"/>
  <c r="AE25" i="1"/>
  <c r="AE24" i="1"/>
  <c r="AE23" i="1"/>
  <c r="AE22" i="1"/>
  <c r="AE21" i="1"/>
  <c r="AE20" i="1"/>
  <c r="AE19" i="1"/>
  <c r="AE18" i="1"/>
  <c r="AE17" i="1"/>
  <c r="AE16" i="1"/>
  <c r="AE15" i="1"/>
  <c r="AE14" i="1"/>
  <c r="AE13" i="1"/>
  <c r="AE12" i="1"/>
  <c r="AE11" i="1"/>
  <c r="AE10" i="1"/>
  <c r="AE9" i="1"/>
  <c r="AE8" i="1"/>
  <c r="AE7" i="1"/>
  <c r="AE6" i="1"/>
  <c r="AE5" i="1"/>
  <c r="AE4" i="1"/>
  <c r="H12" i="1"/>
  <c r="H13" i="1"/>
  <c r="H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" i="1"/>
  <c r="AE42" i="1" l="1"/>
  <c r="Y43" i="1"/>
  <c r="AE41" i="1"/>
  <c r="AN5" i="1"/>
  <c r="AN6" i="1"/>
  <c r="AN7" i="1"/>
  <c r="AN8" i="1"/>
  <c r="AN9" i="1"/>
  <c r="AN10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" i="1"/>
  <c r="AL40" i="1" l="1"/>
  <c r="AL41" i="1"/>
  <c r="AL42" i="1"/>
  <c r="H20" i="1" l="1"/>
  <c r="M40" i="1"/>
  <c r="N40" i="1"/>
  <c r="M41" i="1"/>
  <c r="N41" i="1"/>
  <c r="M42" i="1"/>
  <c r="N42" i="1"/>
  <c r="H17" i="1" l="1"/>
  <c r="U40" i="1" l="1"/>
  <c r="U41" i="1"/>
  <c r="U42" i="1"/>
  <c r="H30" i="1" l="1"/>
  <c r="Q42" i="1" l="1"/>
  <c r="L41" i="1"/>
  <c r="J40" i="1"/>
  <c r="AK41" i="1" l="1"/>
  <c r="AM41" i="1"/>
  <c r="S42" i="1"/>
  <c r="S41" i="1"/>
  <c r="S40" i="1"/>
  <c r="R40" i="1" l="1"/>
  <c r="T40" i="1"/>
  <c r="V40" i="1"/>
  <c r="Q40" i="1"/>
  <c r="AH41" i="1" l="1"/>
  <c r="AI41" i="1"/>
  <c r="AN42" i="1" l="1"/>
  <c r="AK42" i="1"/>
  <c r="AH42" i="1"/>
  <c r="AH40" i="1"/>
  <c r="AI40" i="1"/>
  <c r="AJ40" i="1"/>
  <c r="AK40" i="1"/>
  <c r="AM40" i="1"/>
  <c r="K40" i="1"/>
  <c r="L40" i="1"/>
  <c r="AG40" i="1" l="1"/>
  <c r="J41" i="1"/>
  <c r="J42" i="1"/>
  <c r="AG41" i="1" l="1"/>
  <c r="AJ41" i="1"/>
  <c r="AG42" i="1"/>
  <c r="AI42" i="1"/>
  <c r="AJ42" i="1"/>
  <c r="Q41" i="1"/>
  <c r="R41" i="1"/>
  <c r="T41" i="1"/>
  <c r="H35" i="1" l="1"/>
  <c r="H34" i="1" l="1"/>
  <c r="H14" i="1" l="1"/>
  <c r="H21" i="1"/>
  <c r="H22" i="1"/>
  <c r="H23" i="1"/>
  <c r="H24" i="1"/>
  <c r="H25" i="1"/>
  <c r="H26" i="1"/>
  <c r="H27" i="1"/>
  <c r="K42" i="1" l="1"/>
  <c r="L42" i="1"/>
  <c r="P42" i="1"/>
  <c r="R42" i="1"/>
  <c r="T42" i="1"/>
  <c r="V42" i="1"/>
  <c r="X42" i="1"/>
  <c r="AM42" i="1"/>
  <c r="AG43" i="1" s="1"/>
  <c r="K41" i="1"/>
  <c r="P41" i="1"/>
  <c r="V41" i="1"/>
  <c r="X41" i="1"/>
  <c r="K43" i="1" l="1"/>
  <c r="W42" i="1"/>
  <c r="Q43" i="1"/>
  <c r="H39" i="1"/>
  <c r="H38" i="1"/>
  <c r="H37" i="1"/>
  <c r="H36" i="1"/>
  <c r="H33" i="1"/>
  <c r="H32" i="1"/>
  <c r="H31" i="1"/>
  <c r="H29" i="1"/>
  <c r="H28" i="1"/>
  <c r="H19" i="1"/>
  <c r="H18" i="1"/>
  <c r="H16" i="1"/>
  <c r="H15" i="1"/>
  <c r="H10" i="1"/>
  <c r="H9" i="1"/>
  <c r="H8" i="1"/>
  <c r="H7" i="1"/>
  <c r="H6" i="1"/>
  <c r="H5" i="1"/>
  <c r="AN43" i="1" l="1"/>
  <c r="O41" i="1"/>
  <c r="AN41" i="1"/>
  <c r="O42" i="1"/>
  <c r="W41" i="1"/>
</calcChain>
</file>

<file path=xl/sharedStrings.xml><?xml version="1.0" encoding="utf-8"?>
<sst xmlns="http://schemas.openxmlformats.org/spreadsheetml/2006/main" count="460" uniqueCount="78">
  <si>
    <t>70Howo 105#HOWO #8604</t>
  </si>
  <si>
    <t>70Howo 105#HOWO #8605</t>
  </si>
  <si>
    <t>70Howo 105#HOWO #8606</t>
  </si>
  <si>
    <t>70Howo 105#HOWO #8607</t>
  </si>
  <si>
    <t>70Howo 105#HOWO #8608</t>
  </si>
  <si>
    <t>70Howo 105#HOWO #8609</t>
  </si>
  <si>
    <t>70Howo 105#HOWO #8610</t>
  </si>
  <si>
    <t>70Howo 105#HOWO #8611</t>
  </si>
  <si>
    <t>70Howo 105#HOWO #8612</t>
  </si>
  <si>
    <t>70Howo 105#HOWO #8613</t>
  </si>
  <si>
    <t>70Howo 105#HOWO #8614</t>
  </si>
  <si>
    <t>70Howo 105#HOWO #8615</t>
  </si>
  <si>
    <t>70Howo 105#HOWO #8616</t>
  </si>
  <si>
    <t>70Howo 105#HOWO #8617</t>
  </si>
  <si>
    <t>70Howo 105#HOWO #8618</t>
  </si>
  <si>
    <t>70Howo 105#HOWO #8619</t>
  </si>
  <si>
    <t>70Howo 105#HOWO #8620</t>
  </si>
  <si>
    <t>SHAANXI.TL875B #8621</t>
  </si>
  <si>
    <t>SHAANXI.TL875B #8622</t>
  </si>
  <si>
    <t>SHAANXI.TL875B #8623</t>
  </si>
  <si>
    <t>Howo SANY.SKT90S #8624</t>
  </si>
  <si>
    <t>Howo SANY.SKT90S #8625</t>
  </si>
  <si>
    <t>Howo SANY.SKT90S #8626</t>
  </si>
  <si>
    <t>Howo SANY.SKT90S #8627</t>
  </si>
  <si>
    <t>Howo SANY.SKT90S #8628</t>
  </si>
  <si>
    <t>Howo SANY.SKT90S #8629</t>
  </si>
  <si>
    <t>Howo MT86H #8630</t>
  </si>
  <si>
    <t>Howo SINOTRUCK HOWO371#8632</t>
  </si>
  <si>
    <t>Howo MT86H#8651</t>
  </si>
  <si>
    <t>Howo MT86H#8652</t>
  </si>
  <si>
    <t>70Howo 105#HOWO #8601</t>
  </si>
  <si>
    <t>70Howo 105#HOWO #8602</t>
  </si>
  <si>
    <t>70Howo 105#HOWO #8603</t>
  </si>
  <si>
    <t>Sinotruck ZZ5707</t>
  </si>
  <si>
    <t>Howo SINOTRUCK HOWO371#8633</t>
  </si>
  <si>
    <t>Нийт бүтээл</t>
  </si>
  <si>
    <t>Хөрс</t>
  </si>
  <si>
    <t>Ex-860</t>
  </si>
  <si>
    <t>Ex-861</t>
  </si>
  <si>
    <t>Ex-863</t>
  </si>
  <si>
    <t>И/А</t>
  </si>
  <si>
    <t>6-1TC</t>
  </si>
  <si>
    <t>3cc</t>
  </si>
  <si>
    <t>Ex-862</t>
  </si>
  <si>
    <t>Хөр</t>
  </si>
  <si>
    <t>ИА</t>
  </si>
  <si>
    <t>80эн</t>
  </si>
  <si>
    <t>60эн</t>
  </si>
  <si>
    <t>12.2 co</t>
  </si>
  <si>
    <t>6-1tr</t>
  </si>
  <si>
    <t>12.2co</t>
  </si>
  <si>
    <t>4co</t>
  </si>
  <si>
    <t>56.1 co</t>
  </si>
  <si>
    <t>4..5</t>
  </si>
  <si>
    <t>техник</t>
  </si>
  <si>
    <t>ажилласан мото цаг</t>
  </si>
  <si>
    <t>эхэлсэн км</t>
  </si>
  <si>
    <t>дууссан км</t>
  </si>
  <si>
    <t>нийт км</t>
  </si>
  <si>
    <t>Нийт рейс</t>
  </si>
  <si>
    <t>дууссан мото цаг</t>
  </si>
  <si>
    <t>эхэлсэн мото цаг</t>
  </si>
  <si>
    <t>Нийт нүүрс рейс</t>
  </si>
  <si>
    <t>Автосамосвал</t>
  </si>
  <si>
    <t>Экскаватор туслах техник</t>
  </si>
  <si>
    <t>ex-860</t>
  </si>
  <si>
    <t>ex-861</t>
  </si>
  <si>
    <t>ex-862</t>
  </si>
  <si>
    <t>ex-863</t>
  </si>
  <si>
    <t>Lo-860</t>
  </si>
  <si>
    <t>Lo-861</t>
  </si>
  <si>
    <t>Dz-860</t>
  </si>
  <si>
    <t>Dz-861</t>
  </si>
  <si>
    <t>Gr-861</t>
  </si>
  <si>
    <t>Wt-860</t>
  </si>
  <si>
    <t>Операторын нэр</t>
  </si>
  <si>
    <t>Ө.Даваадорж</t>
  </si>
  <si>
    <t>У.Эрдэнэбаяр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</si>
</sst>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22"/>
      <color theme="1"/>
      <name val="Times New Roman"/>
      <family val="1"/>
    </font>
    <font>
      <b/>
      <sz val="20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7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2" borderId="0" xfId="0" applyFill="1"/>
    <xf numFmtId="0" fontId="0" fillId="0" borderId="7" xfId="0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2" fillId="4" borderId="20" xfId="0" applyFont="1" applyFill="1" applyBorder="1"/>
    <xf numFmtId="0" fontId="2" fillId="4" borderId="21" xfId="0" applyFont="1" applyFill="1" applyBorder="1"/>
    <xf numFmtId="0" fontId="0" fillId="3" borderId="7" xfId="0" applyFill="1" applyBorder="1"/>
    <xf numFmtId="0" fontId="2" fillId="5" borderId="14" xfId="0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0" fillId="0" borderId="34" xfId="0" applyBorder="1" applyAlignment="1">
      <alignment horizontal="center" vertical="center"/>
    </xf>
    <xf numFmtId="0" fontId="0" fillId="0" borderId="34" xfId="0" applyBorder="1"/>
    <xf numFmtId="0" fontId="0" fillId="0" borderId="35" xfId="0" applyBorder="1"/>
    <xf numFmtId="0" fontId="0" fillId="0" borderId="37" xfId="0" applyBorder="1"/>
    <xf numFmtId="0" fontId="0" fillId="0" borderId="38" xfId="0" applyBorder="1"/>
    <xf numFmtId="0" fontId="0" fillId="3" borderId="27" xfId="0" applyFill="1" applyBorder="1"/>
    <xf numFmtId="0" fontId="0" fillId="3" borderId="28" xfId="0" applyFill="1" applyBorder="1"/>
    <xf numFmtId="0" fontId="0" fillId="3" borderId="25" xfId="0" applyFill="1" applyBorder="1"/>
    <xf numFmtId="0" fontId="2" fillId="0" borderId="0" xfId="0" applyFont="1"/>
    <xf numFmtId="0" fontId="2" fillId="3" borderId="7" xfId="0" applyFont="1" applyFill="1" applyBorder="1"/>
    <xf numFmtId="0" fontId="2" fillId="3" borderId="7" xfId="0" applyFont="1" applyFill="1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  <xf numFmtId="0" fontId="2" fillId="2" borderId="12" xfId="0" applyFont="1" applyFill="1" applyBorder="1"/>
    <xf numFmtId="0" fontId="2" fillId="0" borderId="5" xfId="0" applyFont="1" applyBorder="1"/>
    <xf numFmtId="0" fontId="2" fillId="0" borderId="1" xfId="0" applyFont="1" applyBorder="1"/>
    <xf numFmtId="0" fontId="0" fillId="2" borderId="40" xfId="0" applyFill="1" applyBorder="1"/>
    <xf numFmtId="0" fontId="0" fillId="2" borderId="39" xfId="0" applyFill="1" applyBorder="1"/>
    <xf numFmtId="0" fontId="0" fillId="0" borderId="6" xfId="0" applyBorder="1" applyAlignment="1">
      <alignment horizontal="center" vertical="center"/>
    </xf>
    <xf numFmtId="0" fontId="3" fillId="0" borderId="1" xfId="0" applyFont="1" applyBorder="1"/>
    <xf numFmtId="0" fontId="3" fillId="0" borderId="5" xfId="0" applyFont="1" applyBorder="1"/>
    <xf numFmtId="0" fontId="2" fillId="5" borderId="26" xfId="0" applyFont="1" applyFill="1" applyBorder="1"/>
    <xf numFmtId="0" fontId="2" fillId="0" borderId="13" xfId="0" applyFont="1" applyBorder="1"/>
    <xf numFmtId="0" fontId="2" fillId="0" borderId="18" xfId="0" applyFont="1" applyBorder="1"/>
    <xf numFmtId="0" fontId="2" fillId="3" borderId="41" xfId="0" applyFont="1" applyFill="1" applyBorder="1"/>
    <xf numFmtId="0" fontId="0" fillId="0" borderId="41" xfId="0" applyBorder="1"/>
    <xf numFmtId="0" fontId="0" fillId="3" borderId="41" xfId="0" applyFill="1" applyBorder="1"/>
    <xf numFmtId="0" fontId="2" fillId="0" borderId="34" xfId="0" applyFont="1" applyBorder="1"/>
    <xf numFmtId="0" fontId="3" fillId="0" borderId="34" xfId="0" applyFont="1" applyBorder="1"/>
    <xf numFmtId="16" fontId="0" fillId="0" borderId="1" xfId="0" applyNumberFormat="1" applyBorder="1" applyAlignment="1">
      <alignment horizontal="center" vertical="center"/>
    </xf>
    <xf numFmtId="0" fontId="2" fillId="4" borderId="23" xfId="0" applyFont="1" applyFill="1" applyBorder="1"/>
    <xf numFmtId="0" fontId="4" fillId="0" borderId="0" xfId="0" applyFont="1"/>
    <xf numFmtId="0" fontId="6" fillId="0" borderId="5" xfId="0" applyFont="1" applyBorder="1"/>
    <xf numFmtId="0" fontId="6" fillId="0" borderId="1" xfId="0" applyFont="1" applyBorder="1"/>
    <xf numFmtId="0" fontId="6" fillId="0" borderId="34" xfId="0" applyFont="1" applyBorder="1"/>
    <xf numFmtId="0" fontId="6" fillId="0" borderId="6" xfId="0" applyFont="1" applyBorder="1"/>
    <xf numFmtId="0" fontId="6" fillId="2" borderId="40" xfId="0" applyFont="1" applyFill="1" applyBorder="1"/>
    <xf numFmtId="0" fontId="6" fillId="2" borderId="0" xfId="0" applyFont="1" applyFill="1"/>
    <xf numFmtId="0" fontId="7" fillId="0" borderId="5" xfId="0" applyFont="1" applyBorder="1"/>
    <xf numFmtId="0" fontId="6" fillId="6" borderId="6" xfId="0" applyFont="1" applyFill="1" applyBorder="1"/>
    <xf numFmtId="0" fontId="8" fillId="0" borderId="34" xfId="0" applyFont="1" applyBorder="1"/>
    <xf numFmtId="0" fontId="8" fillId="0" borderId="6" xfId="0" applyFont="1" applyBorder="1"/>
    <xf numFmtId="0" fontId="6" fillId="7" borderId="1" xfId="0" applyFont="1" applyFill="1" applyBorder="1"/>
    <xf numFmtId="0" fontId="6" fillId="0" borderId="37" xfId="0" applyFont="1" applyBorder="1"/>
    <xf numFmtId="0" fontId="7" fillId="0" borderId="1" xfId="0" applyFont="1" applyBorder="1"/>
    <xf numFmtId="0" fontId="7" fillId="0" borderId="34" xfId="0" applyFont="1" applyBorder="1"/>
    <xf numFmtId="0" fontId="6" fillId="0" borderId="29" xfId="0" applyFont="1" applyBorder="1"/>
    <xf numFmtId="0" fontId="6" fillId="0" borderId="30" xfId="0" applyFont="1" applyBorder="1"/>
    <xf numFmtId="0" fontId="6" fillId="0" borderId="35" xfId="0" applyFont="1" applyBorder="1"/>
    <xf numFmtId="0" fontId="6" fillId="0" borderId="31" xfId="0" applyFont="1" applyBorder="1"/>
    <xf numFmtId="0" fontId="6" fillId="2" borderId="39" xfId="0" applyFont="1" applyFill="1" applyBorder="1"/>
    <xf numFmtId="0" fontId="6" fillId="0" borderId="38" xfId="0" applyFont="1" applyBorder="1"/>
    <xf numFmtId="0" fontId="7" fillId="0" borderId="6" xfId="0" applyFont="1" applyBorder="1"/>
    <xf numFmtId="0" fontId="7" fillId="0" borderId="29" xfId="0" applyFont="1" applyBorder="1"/>
    <xf numFmtId="0" fontId="7" fillId="0" borderId="42" xfId="0" applyFont="1" applyBorder="1"/>
    <xf numFmtId="0" fontId="7" fillId="0" borderId="35" xfId="0" applyFont="1" applyBorder="1"/>
    <xf numFmtId="0" fontId="7" fillId="0" borderId="31" xfId="0" applyFont="1" applyBorder="1"/>
    <xf numFmtId="0" fontId="2" fillId="3" borderId="9" xfId="0" applyFont="1" applyFill="1" applyBorder="1"/>
    <xf numFmtId="0" fontId="0" fillId="3" borderId="9" xfId="0" applyFill="1" applyBorder="1"/>
    <xf numFmtId="0" fontId="0" fillId="3" borderId="3" xfId="0" applyFill="1" applyBorder="1"/>
    <xf numFmtId="0" fontId="0" fillId="3" borderId="4" xfId="0" applyFill="1" applyBorder="1"/>
    <xf numFmtId="0" fontId="2" fillId="4" borderId="31" xfId="0" applyFont="1" applyFill="1" applyBorder="1"/>
    <xf numFmtId="0" fontId="2" fillId="4" borderId="35" xfId="0" applyFont="1" applyFill="1" applyBorder="1"/>
    <xf numFmtId="0" fontId="6" fillId="0" borderId="0" xfId="0" applyFont="1"/>
    <xf numFmtId="0" fontId="0" fillId="3" borderId="43" xfId="0" applyFill="1" applyBorder="1"/>
    <xf numFmtId="0" fontId="2" fillId="5" borderId="44" xfId="0" applyFont="1" applyFill="1" applyBorder="1"/>
    <xf numFmtId="0" fontId="0" fillId="3" borderId="45" xfId="0" applyFill="1" applyBorder="1"/>
    <xf numFmtId="0" fontId="2" fillId="2" borderId="46" xfId="0" applyFont="1" applyFill="1" applyBorder="1"/>
    <xf numFmtId="0" fontId="2" fillId="2" borderId="47" xfId="0" applyFont="1" applyFill="1" applyBorder="1"/>
    <xf numFmtId="0" fontId="6" fillId="2" borderId="32" xfId="0" applyFont="1" applyFill="1" applyBorder="1"/>
    <xf numFmtId="0" fontId="0" fillId="3" borderId="2" xfId="0" applyFill="1" applyBorder="1"/>
    <xf numFmtId="0" fontId="0" fillId="0" borderId="4" xfId="0" applyBorder="1"/>
    <xf numFmtId="0" fontId="2" fillId="5" borderId="31" xfId="0" applyFont="1" applyFill="1" applyBorder="1"/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0" fontId="4" fillId="8" borderId="3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horizontal="center"/>
    </xf>
    <xf numFmtId="0" fontId="5" fillId="8" borderId="43" xfId="0" applyFont="1" applyFill="1" applyBorder="1" applyAlignment="1">
      <alignment horizontal="center" vertical="center"/>
    </xf>
    <xf numFmtId="0" fontId="5" fillId="8" borderId="45" xfId="0" applyFont="1" applyFill="1" applyBorder="1" applyAlignment="1">
      <alignment horizontal="center" vertical="center"/>
    </xf>
    <xf numFmtId="0" fontId="5" fillId="8" borderId="52" xfId="0" applyFont="1" applyFill="1" applyBorder="1" applyAlignment="1">
      <alignment horizontal="center" vertical="center"/>
    </xf>
    <xf numFmtId="0" fontId="4" fillId="8" borderId="44" xfId="0" applyFont="1" applyFill="1" applyBorder="1"/>
    <xf numFmtId="0" fontId="4" fillId="8" borderId="45" xfId="0" applyFont="1" applyFill="1" applyBorder="1" applyAlignment="1">
      <alignment horizontal="center" vertical="center"/>
    </xf>
    <xf numFmtId="0" fontId="4" fillId="8" borderId="52" xfId="0" applyFont="1" applyFill="1" applyBorder="1" applyAlignment="1">
      <alignment horizontal="center" vertical="center"/>
    </xf>
    <xf numFmtId="0" fontId="0" fillId="3" borderId="36" xfId="0" applyFill="1" applyBorder="1"/>
    <xf numFmtId="0" fontId="6" fillId="9" borderId="5" xfId="0" applyFont="1" applyFill="1" applyBorder="1"/>
    <xf numFmtId="0" fontId="6" fillId="9" borderId="1" xfId="0" applyFont="1" applyFill="1" applyBorder="1"/>
    <xf numFmtId="0" fontId="6" fillId="9" borderId="34" xfId="0" applyFont="1" applyFill="1" applyBorder="1"/>
    <xf numFmtId="0" fontId="6" fillId="9" borderId="6" xfId="0" applyFont="1" applyFill="1" applyBorder="1"/>
    <xf numFmtId="0" fontId="2" fillId="3" borderId="45" xfId="0" applyFont="1" applyFill="1" applyBorder="1"/>
    <xf numFmtId="0" fontId="2" fillId="3" borderId="4" xfId="0" applyFont="1" applyFill="1" applyBorder="1"/>
    <xf numFmtId="0" fontId="2" fillId="0" borderId="4" xfId="0" applyFont="1" applyBorder="1"/>
    <xf numFmtId="16" fontId="5" fillId="8" borderId="43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 vertical="center"/>
    </xf>
    <xf numFmtId="0" fontId="5" fillId="8" borderId="33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44" xfId="0" applyFont="1" applyFill="1" applyBorder="1" applyAlignment="1">
      <alignment horizontal="center"/>
    </xf>
    <xf numFmtId="0" fontId="9" fillId="0" borderId="1" xfId="0" applyFont="1" applyBorder="1"/>
    <xf numFmtId="0" fontId="3" fillId="0" borderId="7" xfId="0" applyFont="1" applyBorder="1"/>
    <xf numFmtId="0" fontId="3" fillId="3" borderId="7" xfId="0" applyFont="1" applyFill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2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2" fillId="0" borderId="53" xfId="0" applyFont="1" applyBorder="1" applyAlignment="1">
      <alignment horizontal="center"/>
    </xf>
    <xf numFmtId="0" fontId="2" fillId="0" borderId="54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0" fontId="2" fillId="0" borderId="49" xfId="0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0" fontId="2" fillId="0" borderId="51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2" fillId="4" borderId="30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3" fillId="8" borderId="43" xfId="0" applyFont="1" applyFill="1" applyBorder="1" applyAlignment="1">
      <alignment horizontal="center" vertical="center"/>
    </xf>
    <xf numFmtId="0" fontId="13" fillId="8" borderId="45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8" borderId="44" xfId="0" applyFont="1" applyFill="1" applyBorder="1" applyAlignment="1">
      <alignment horizontal="center" vertical="center"/>
    </xf>
    <xf numFmtId="0" fontId="14" fillId="0" borderId="5" xfId="0" applyFont="1" applyBorder="1"/>
    <xf numFmtId="0" fontId="14" fillId="0" borderId="1" xfId="0" applyFont="1" applyBorder="1"/>
    <xf numFmtId="0" fontId="14" fillId="0" borderId="34" xfId="0" applyFont="1" applyBorder="1"/>
    <xf numFmtId="0" fontId="14" fillId="0" borderId="0" xfId="0" applyFont="1"/>
    <xf numFmtId="0" fontId="15" fillId="0" borderId="5" xfId="0" applyFont="1" applyBorder="1"/>
    <xf numFmtId="0" fontId="15" fillId="0" borderId="1" xfId="0" applyFont="1" applyBorder="1"/>
    <xf numFmtId="0" fontId="15" fillId="0" borderId="34" xfId="0" applyFont="1" applyBorder="1"/>
    <xf numFmtId="0" fontId="17" fillId="0" borderId="34" xfId="0" applyFont="1" applyBorder="1"/>
    <xf numFmtId="0" fontId="14" fillId="7" borderId="1" xfId="0" applyFont="1" applyFill="1" applyBorder="1"/>
    <xf numFmtId="0" fontId="14" fillId="0" borderId="37" xfId="0" applyFont="1" applyBorder="1"/>
    <xf numFmtId="0" fontId="18" fillId="0" borderId="1" xfId="0" applyFont="1" applyBorder="1"/>
    <xf numFmtId="0" fontId="14" fillId="9" borderId="1" xfId="0" applyFont="1" applyFill="1" applyBorder="1"/>
    <xf numFmtId="0" fontId="14" fillId="9" borderId="34" xfId="0" applyFont="1" applyFill="1" applyBorder="1"/>
    <xf numFmtId="0" fontId="14" fillId="0" borderId="29" xfId="0" applyFont="1" applyBorder="1"/>
    <xf numFmtId="0" fontId="14" fillId="0" borderId="30" xfId="0" applyFont="1" applyBorder="1"/>
    <xf numFmtId="0" fontId="14" fillId="0" borderId="35" xfId="0" applyFont="1" applyBorder="1"/>
    <xf numFmtId="0" fontId="15" fillId="0" borderId="29" xfId="0" applyFont="1" applyBorder="1"/>
    <xf numFmtId="0" fontId="15" fillId="0" borderId="42" xfId="0" applyFont="1" applyBorder="1"/>
    <xf numFmtId="0" fontId="15" fillId="0" borderId="35" xfId="0" applyFont="1" applyBorder="1"/>
    <xf numFmtId="0" fontId="14" fillId="0" borderId="38" xfId="0" applyFont="1" applyBorder="1"/>
    <xf numFmtId="0" fontId="10" fillId="0" borderId="1" xfId="0" applyFont="1" applyBorder="1"/>
    <xf numFmtId="0" fontId="10" fillId="0" borderId="55" xfId="0" applyFont="1" applyBorder="1"/>
    <xf numFmtId="0" fontId="10" fillId="0" borderId="56" xfId="0" applyFont="1" applyBorder="1"/>
    <xf numFmtId="0" fontId="11" fillId="3" borderId="1" xfId="0" applyFont="1" applyFill="1" applyBorder="1"/>
    <xf numFmtId="0" fontId="10" fillId="3" borderId="1" xfId="0" applyFont="1" applyFill="1" applyBorder="1"/>
    <xf numFmtId="0" fontId="16" fillId="0" borderId="1" xfId="0" applyFont="1" applyBorder="1"/>
    <xf numFmtId="0" fontId="16" fillId="3" borderId="1" xfId="0" applyFont="1" applyFill="1" applyBorder="1"/>
    <xf numFmtId="0" fontId="11" fillId="3" borderId="5" xfId="0" applyFont="1" applyFill="1" applyBorder="1"/>
    <xf numFmtId="0" fontId="11" fillId="3" borderId="5" xfId="0" applyFont="1" applyFill="1" applyBorder="1" applyAlignment="1">
      <alignment horizontal="right" vertical="center"/>
    </xf>
    <xf numFmtId="0" fontId="10" fillId="0" borderId="30" xfId="0" applyFont="1" applyBorder="1"/>
    <xf numFmtId="0" fontId="10" fillId="3" borderId="34" xfId="0" applyFont="1" applyFill="1" applyBorder="1"/>
    <xf numFmtId="0" fontId="10" fillId="3" borderId="35" xfId="0" applyFont="1" applyFill="1" applyBorder="1"/>
    <xf numFmtId="0" fontId="15" fillId="0" borderId="37" xfId="0" applyFont="1" applyBorder="1"/>
    <xf numFmtId="0" fontId="14" fillId="9" borderId="37" xfId="0" applyFont="1" applyFill="1" applyBorder="1"/>
    <xf numFmtId="0" fontId="11" fillId="2" borderId="57" xfId="0" applyFont="1" applyFill="1" applyBorder="1"/>
    <xf numFmtId="0" fontId="11" fillId="2" borderId="58" xfId="0" applyFont="1" applyFill="1" applyBorder="1"/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4" fillId="6" borderId="34" xfId="0" applyFont="1" applyFill="1" applyBorder="1"/>
    <xf numFmtId="0" fontId="14" fillId="2" borderId="1" xfId="0" applyFont="1" applyFill="1" applyBorder="1"/>
    <xf numFmtId="0" fontId="10" fillId="2" borderId="1" xfId="0" applyFont="1" applyFill="1" applyBorder="1"/>
    <xf numFmtId="0" fontId="20" fillId="0" borderId="59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11" fillId="3" borderId="60" xfId="0" applyFont="1" applyFill="1" applyBorder="1"/>
    <xf numFmtId="0" fontId="10" fillId="0" borderId="61" xfId="0" applyFont="1" applyBorder="1"/>
    <xf numFmtId="0" fontId="10" fillId="3" borderId="61" xfId="0" applyFont="1" applyFill="1" applyBorder="1"/>
    <xf numFmtId="0" fontId="13" fillId="0" borderId="36" xfId="0" applyFont="1" applyBorder="1" applyAlignment="1">
      <alignment horizontal="center" vertical="center" wrapText="1"/>
    </xf>
    <xf numFmtId="0" fontId="11" fillId="7" borderId="37" xfId="0" applyFont="1" applyFill="1" applyBorder="1"/>
    <xf numFmtId="0" fontId="13" fillId="0" borderId="62" xfId="0" applyFont="1" applyBorder="1" applyAlignment="1">
      <alignment horizontal="center" vertical="center" wrapText="1"/>
    </xf>
    <xf numFmtId="0" fontId="12" fillId="8" borderId="43" xfId="0" applyFont="1" applyFill="1" applyBorder="1" applyAlignment="1">
      <alignment horizontal="center" vertical="center"/>
    </xf>
    <xf numFmtId="0" fontId="13" fillId="8" borderId="43" xfId="0" applyFont="1" applyFill="1" applyBorder="1" applyAlignment="1">
      <alignment horizontal="center" vertical="center" wrapText="1"/>
    </xf>
    <xf numFmtId="0" fontId="19" fillId="0" borderId="22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24" xfId="0" applyFont="1" applyBorder="1" applyAlignment="1">
      <alignment horizontal="center"/>
    </xf>
  </cellXfs>
  <cellStyles count="1">
    <cellStyle name="Normal" xfId="0" builtinId="0"/>
  </cellStyles>
  <dxfs count="16"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813954</xdr:colOff>
      <xdr:row>8</xdr:row>
      <xdr:rowOff>225136</xdr:rowOff>
    </xdr:from>
    <xdr:to>
      <xdr:col>16</xdr:col>
      <xdr:colOff>415635</xdr:colOff>
      <xdr:row>15</xdr:row>
      <xdr:rowOff>17318</xdr:rowOff>
    </xdr:to>
    <xdr:sp macro="" textlink="">
      <xdr:nvSpPr>
        <xdr:cNvPr id="3" name="Callout: Bent Line 2">
          <a:extLst>
            <a:ext uri="{FF2B5EF4-FFF2-40B4-BE49-F238E27FC236}">
              <a16:creationId xmlns:a16="http://schemas.microsoft.com/office/drawing/2014/main" id="{9FE209A6-BE91-5B25-7B3D-7968BDDE25D2}"/>
            </a:ext>
          </a:extLst>
        </xdr:cNvPr>
        <xdr:cNvSpPr/>
      </xdr:nvSpPr>
      <xdr:spPr>
        <a:xfrm>
          <a:off x="11897590" y="2718954"/>
          <a:ext cx="2961409" cy="1731819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98849"/>
            <a:gd name="adj6" fmla="val 27522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mn-MN" sz="3200"/>
            <a:t>Нүүрс</a:t>
          </a:r>
          <a:r>
            <a:rPr lang="mn-MN" sz="3200" baseline="0"/>
            <a:t> явсан үед скаладууд нь </a:t>
          </a:r>
          <a:endParaRPr lang="en-US" sz="32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22422-46A8-4C40-80E6-0F879FB26D6B}">
  <dimension ref="A1:AN44"/>
  <sheetViews>
    <sheetView showGridLines="0" topLeftCell="B3" zoomScale="70" zoomScaleNormal="70" workbookViewId="0">
      <selection activeCell="S19" sqref="S19"/>
    </sheetView>
  </sheetViews>
  <sheetFormatPr defaultRowHeight="15" x14ac:dyDescent="0.25"/>
  <cols>
    <col min="1" max="1" width="37.85546875" hidden="1" customWidth="1"/>
    <col min="2" max="2" width="8.42578125" bestFit="1" customWidth="1"/>
    <col min="3" max="3" width="8.140625" bestFit="1" customWidth="1"/>
    <col min="4" max="4" width="11.140625" bestFit="1" customWidth="1"/>
    <col min="5" max="5" width="7" bestFit="1" customWidth="1"/>
    <col min="6" max="6" width="13.7109375" bestFit="1" customWidth="1"/>
    <col min="7" max="8" width="9.42578125" bestFit="1" customWidth="1"/>
    <col min="9" max="9" width="6.85546875" style="32" customWidth="1"/>
    <col min="10" max="10" width="13" customWidth="1"/>
    <col min="11" max="15" width="9.42578125" customWidth="1"/>
    <col min="16" max="16" width="3" bestFit="1" customWidth="1"/>
    <col min="17" max="23" width="9.42578125" customWidth="1"/>
    <col min="24" max="24" width="3" customWidth="1"/>
    <col min="25" max="30" width="11.42578125" customWidth="1"/>
    <col min="31" max="31" width="7.5703125" customWidth="1"/>
    <col min="32" max="32" width="3" customWidth="1"/>
    <col min="33" max="40" width="9.42578125" customWidth="1"/>
  </cols>
  <sheetData>
    <row r="1" spans="1:40" ht="15.75" thickBot="1" x14ac:dyDescent="0.3"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</row>
    <row r="2" spans="1:40" x14ac:dyDescent="0.25">
      <c r="B2" s="32"/>
      <c r="J2" s="125" t="s">
        <v>37</v>
      </c>
      <c r="K2" s="126"/>
      <c r="L2" s="126"/>
      <c r="M2" s="127"/>
      <c r="N2" s="128"/>
      <c r="O2" s="32"/>
      <c r="P2" s="32"/>
      <c r="Q2" s="125" t="s">
        <v>38</v>
      </c>
      <c r="R2" s="126"/>
      <c r="S2" s="126"/>
      <c r="T2" s="126"/>
      <c r="U2" s="127"/>
      <c r="V2" s="128"/>
      <c r="W2" s="32"/>
      <c r="X2" s="32"/>
      <c r="Y2" s="125" t="s">
        <v>43</v>
      </c>
      <c r="Z2" s="126"/>
      <c r="AA2" s="126"/>
      <c r="AB2" s="126"/>
      <c r="AC2" s="127"/>
      <c r="AD2" s="128"/>
      <c r="AE2" s="32"/>
      <c r="AF2" s="32"/>
      <c r="AG2" s="125" t="s">
        <v>39</v>
      </c>
      <c r="AH2" s="129"/>
      <c r="AI2" s="126"/>
      <c r="AJ2" s="126"/>
      <c r="AK2" s="127"/>
      <c r="AL2" s="127"/>
      <c r="AM2" s="128"/>
    </row>
    <row r="3" spans="1:40" ht="51" customHeight="1" x14ac:dyDescent="0.25">
      <c r="B3" s="32"/>
      <c r="J3" s="2" t="s">
        <v>36</v>
      </c>
      <c r="K3" s="53" t="s">
        <v>41</v>
      </c>
      <c r="L3" s="4" t="s">
        <v>42</v>
      </c>
      <c r="M3" s="24"/>
      <c r="N3" s="35" t="s">
        <v>40</v>
      </c>
      <c r="Q3" s="5" t="s">
        <v>36</v>
      </c>
      <c r="R3" s="4" t="s">
        <v>42</v>
      </c>
      <c r="S3" s="4"/>
      <c r="T3" s="4"/>
      <c r="U3" s="24"/>
      <c r="V3" s="42"/>
      <c r="Y3" s="5" t="s">
        <v>36</v>
      </c>
      <c r="Z3" s="4"/>
      <c r="AA3" s="4"/>
      <c r="AB3" s="4"/>
      <c r="AC3" s="24"/>
      <c r="AD3" s="42"/>
      <c r="AG3" s="5" t="s">
        <v>36</v>
      </c>
      <c r="AH3" s="4"/>
      <c r="AI3" s="24"/>
      <c r="AJ3" s="4"/>
      <c r="AK3" s="24"/>
      <c r="AL3" s="24"/>
      <c r="AM3" s="42"/>
    </row>
    <row r="4" spans="1:40" ht="21.75" customHeight="1" x14ac:dyDescent="0.25">
      <c r="A4" s="7" t="s">
        <v>30</v>
      </c>
      <c r="B4" s="33">
        <v>8601</v>
      </c>
      <c r="C4" s="7">
        <v>7446</v>
      </c>
      <c r="D4" s="7">
        <v>7455</v>
      </c>
      <c r="E4" s="17">
        <f>+D4-C4</f>
        <v>9</v>
      </c>
      <c r="F4" s="7">
        <v>109634</v>
      </c>
      <c r="G4" s="7">
        <v>109779</v>
      </c>
      <c r="H4" s="17">
        <f>+G4-F4</f>
        <v>145</v>
      </c>
      <c r="I4" s="37">
        <f>SUM(J4:N4,Q4:V4,AG4:AM4,Y4:AD4)</f>
        <v>10</v>
      </c>
      <c r="J4" s="2">
        <v>7</v>
      </c>
      <c r="K4" s="1">
        <v>3</v>
      </c>
      <c r="L4" s="1"/>
      <c r="M4" s="25"/>
      <c r="N4" s="3"/>
      <c r="O4" s="40">
        <f>SUM(K4:M4)</f>
        <v>3</v>
      </c>
      <c r="Q4" s="2"/>
      <c r="R4" s="1"/>
      <c r="S4" s="1"/>
      <c r="T4" s="1"/>
      <c r="U4" s="25"/>
      <c r="V4" s="3"/>
      <c r="W4" s="6">
        <f>SUM(R4:V4)</f>
        <v>0</v>
      </c>
      <c r="Y4" s="2"/>
      <c r="Z4" s="1"/>
      <c r="AA4" s="1"/>
      <c r="AB4" s="1"/>
      <c r="AC4" s="25"/>
      <c r="AD4" s="3"/>
      <c r="AE4" s="6">
        <f>SUM(Z4:AD4)</f>
        <v>0</v>
      </c>
      <c r="AG4" s="2"/>
      <c r="AH4" s="1"/>
      <c r="AI4" s="25"/>
      <c r="AJ4" s="1"/>
      <c r="AK4" s="25"/>
      <c r="AL4" s="25"/>
      <c r="AM4" s="3"/>
      <c r="AN4" s="40">
        <f>SUM(AH4:AM4)</f>
        <v>0</v>
      </c>
    </row>
    <row r="5" spans="1:40" ht="21.75" customHeight="1" x14ac:dyDescent="0.25">
      <c r="A5" s="7" t="s">
        <v>31</v>
      </c>
      <c r="B5" s="33">
        <v>8602</v>
      </c>
      <c r="C5" s="7">
        <v>5547</v>
      </c>
      <c r="D5" s="7">
        <v>5550</v>
      </c>
      <c r="E5" s="17">
        <f t="shared" ref="E5:E39" si="0">+D5-C5</f>
        <v>3</v>
      </c>
      <c r="F5" s="7">
        <v>65011</v>
      </c>
      <c r="G5" s="7">
        <v>65050</v>
      </c>
      <c r="H5" s="17">
        <f t="shared" ref="H5:H39" si="1">+G5-F5</f>
        <v>39</v>
      </c>
      <c r="I5" s="37">
        <f>SUM(J5:N5,Q5:V5,AG5:AM5,Y5:AD5)</f>
        <v>2</v>
      </c>
      <c r="J5" s="2"/>
      <c r="K5" s="1"/>
      <c r="L5" s="1"/>
      <c r="M5" s="25"/>
      <c r="N5" s="3"/>
      <c r="O5" s="40">
        <f t="shared" ref="O5:O39" si="2">SUM(K5:M5)</f>
        <v>0</v>
      </c>
      <c r="Q5" s="2"/>
      <c r="R5" s="1">
        <v>2</v>
      </c>
      <c r="S5" s="1"/>
      <c r="T5" s="1"/>
      <c r="U5" s="25"/>
      <c r="V5" s="3"/>
      <c r="W5" s="6">
        <f t="shared" ref="W5:W39" si="3">SUM(R5:V5)</f>
        <v>2</v>
      </c>
      <c r="Y5" s="2"/>
      <c r="Z5" s="1"/>
      <c r="AA5" s="1"/>
      <c r="AB5" s="1"/>
      <c r="AC5" s="25"/>
      <c r="AD5" s="3"/>
      <c r="AE5" s="6">
        <f t="shared" ref="AE5:AE39" si="4">SUM(Z5:AD5)</f>
        <v>0</v>
      </c>
      <c r="AG5" s="2"/>
      <c r="AH5" s="1"/>
      <c r="AI5" s="25"/>
      <c r="AJ5" s="1"/>
      <c r="AK5" s="25"/>
      <c r="AL5" s="25"/>
      <c r="AM5" s="3"/>
      <c r="AN5" s="40">
        <f t="shared" ref="AN5:AN39" si="5">SUM(AH5:AM5)</f>
        <v>0</v>
      </c>
    </row>
    <row r="6" spans="1:40" ht="21.75" customHeight="1" x14ac:dyDescent="0.25">
      <c r="A6" s="7" t="s">
        <v>32</v>
      </c>
      <c r="B6" s="33">
        <v>8603</v>
      </c>
      <c r="C6" s="7">
        <v>6799</v>
      </c>
      <c r="D6" s="7">
        <v>6809</v>
      </c>
      <c r="E6" s="17">
        <f t="shared" si="0"/>
        <v>10</v>
      </c>
      <c r="F6" s="7">
        <v>86173</v>
      </c>
      <c r="G6" s="7">
        <v>86313</v>
      </c>
      <c r="H6" s="17">
        <f t="shared" si="1"/>
        <v>140</v>
      </c>
      <c r="I6" s="37">
        <f>SUM(J6:N6,Q6:V6,AG6:AM6,Y6:AD6)</f>
        <v>10</v>
      </c>
      <c r="J6" s="2">
        <v>3</v>
      </c>
      <c r="K6" s="1"/>
      <c r="L6" s="1"/>
      <c r="M6" s="25"/>
      <c r="N6" s="3"/>
      <c r="O6" s="40">
        <f t="shared" si="2"/>
        <v>0</v>
      </c>
      <c r="Q6" s="2"/>
      <c r="R6" s="1"/>
      <c r="S6" s="1"/>
      <c r="T6" s="1"/>
      <c r="U6" s="25"/>
      <c r="V6" s="3"/>
      <c r="W6" s="6">
        <f t="shared" si="3"/>
        <v>0</v>
      </c>
      <c r="Y6" s="2">
        <v>7</v>
      </c>
      <c r="Z6" s="1"/>
      <c r="AA6" s="1"/>
      <c r="AB6" s="1"/>
      <c r="AC6" s="25"/>
      <c r="AD6" s="3"/>
      <c r="AE6" s="6">
        <f t="shared" si="4"/>
        <v>0</v>
      </c>
      <c r="AG6" s="2"/>
      <c r="AH6" s="1"/>
      <c r="AI6" s="25"/>
      <c r="AJ6" s="1"/>
      <c r="AK6" s="25"/>
      <c r="AL6" s="25"/>
      <c r="AM6" s="3"/>
      <c r="AN6" s="40">
        <f t="shared" si="5"/>
        <v>0</v>
      </c>
    </row>
    <row r="7" spans="1:40" ht="21.75" customHeight="1" x14ac:dyDescent="0.25">
      <c r="A7" s="7" t="s">
        <v>0</v>
      </c>
      <c r="B7" s="33">
        <v>8604</v>
      </c>
      <c r="C7" s="7">
        <v>8733</v>
      </c>
      <c r="D7" s="7">
        <v>8745</v>
      </c>
      <c r="E7" s="17">
        <f t="shared" si="0"/>
        <v>12</v>
      </c>
      <c r="F7" s="7">
        <v>89731</v>
      </c>
      <c r="G7" s="7">
        <v>89834</v>
      </c>
      <c r="H7" s="17">
        <f t="shared" si="1"/>
        <v>103</v>
      </c>
      <c r="I7" s="37">
        <f t="shared" ref="I7:I39" si="6">SUM(J7:N7,Q7:V7,AG7:AM7,Y7:AD7)</f>
        <v>8</v>
      </c>
      <c r="J7" s="2"/>
      <c r="K7" s="1"/>
      <c r="L7" s="1"/>
      <c r="M7" s="25"/>
      <c r="N7" s="3"/>
      <c r="O7" s="40">
        <f t="shared" si="2"/>
        <v>0</v>
      </c>
      <c r="Q7" s="2"/>
      <c r="R7" s="1"/>
      <c r="S7" s="1"/>
      <c r="T7" s="1"/>
      <c r="U7" s="25"/>
      <c r="V7" s="3"/>
      <c r="W7" s="6">
        <f t="shared" si="3"/>
        <v>0</v>
      </c>
      <c r="Y7" s="2"/>
      <c r="Z7" s="1"/>
      <c r="AA7" s="1"/>
      <c r="AB7" s="1"/>
      <c r="AC7" s="25"/>
      <c r="AD7" s="3"/>
      <c r="AE7" s="6">
        <f t="shared" si="4"/>
        <v>0</v>
      </c>
      <c r="AG7" s="2">
        <v>8</v>
      </c>
      <c r="AH7" s="1"/>
      <c r="AI7" s="25"/>
      <c r="AJ7" s="1"/>
      <c r="AK7" s="25"/>
      <c r="AL7" s="25"/>
      <c r="AM7" s="3"/>
      <c r="AN7" s="40">
        <f t="shared" si="5"/>
        <v>0</v>
      </c>
    </row>
    <row r="8" spans="1:40" ht="21.75" customHeight="1" x14ac:dyDescent="0.25">
      <c r="A8" s="7" t="s">
        <v>1</v>
      </c>
      <c r="B8" s="33">
        <v>8605</v>
      </c>
      <c r="C8" s="7">
        <v>2737</v>
      </c>
      <c r="D8" s="7">
        <v>2747</v>
      </c>
      <c r="E8" s="17">
        <f t="shared" si="0"/>
        <v>10</v>
      </c>
      <c r="F8" s="7">
        <v>37196</v>
      </c>
      <c r="G8" s="7">
        <v>37314</v>
      </c>
      <c r="H8" s="17">
        <f t="shared" si="1"/>
        <v>118</v>
      </c>
      <c r="I8" s="37">
        <f t="shared" si="6"/>
        <v>8</v>
      </c>
      <c r="J8" s="2">
        <v>8</v>
      </c>
      <c r="K8" s="1"/>
      <c r="L8" s="1"/>
      <c r="M8" s="25"/>
      <c r="N8" s="3"/>
      <c r="O8" s="40">
        <f t="shared" si="2"/>
        <v>0</v>
      </c>
      <c r="Q8" s="2"/>
      <c r="R8" s="1"/>
      <c r="S8" s="1"/>
      <c r="T8" s="1"/>
      <c r="U8" s="25"/>
      <c r="V8" s="3"/>
      <c r="W8" s="6">
        <f t="shared" si="3"/>
        <v>0</v>
      </c>
      <c r="Y8" s="2"/>
      <c r="Z8" s="1"/>
      <c r="AA8" s="1"/>
      <c r="AB8" s="1"/>
      <c r="AC8" s="25"/>
      <c r="AD8" s="3"/>
      <c r="AE8" s="6">
        <f t="shared" si="4"/>
        <v>0</v>
      </c>
      <c r="AG8" s="2"/>
      <c r="AH8" s="1"/>
      <c r="AI8" s="25"/>
      <c r="AJ8" s="1"/>
      <c r="AK8" s="25"/>
      <c r="AL8" s="25"/>
      <c r="AM8" s="3"/>
      <c r="AN8" s="40">
        <f t="shared" si="5"/>
        <v>0</v>
      </c>
    </row>
    <row r="9" spans="1:40" ht="21.75" customHeight="1" x14ac:dyDescent="0.25">
      <c r="A9" s="7" t="s">
        <v>2</v>
      </c>
      <c r="B9" s="33">
        <v>8606</v>
      </c>
      <c r="C9" s="7"/>
      <c r="D9" s="7"/>
      <c r="E9" s="17">
        <f t="shared" si="0"/>
        <v>0</v>
      </c>
      <c r="F9" s="7"/>
      <c r="G9" s="7"/>
      <c r="H9" s="17">
        <f t="shared" si="1"/>
        <v>0</v>
      </c>
      <c r="I9" s="37">
        <f t="shared" si="6"/>
        <v>0</v>
      </c>
      <c r="J9" s="2"/>
      <c r="K9" s="1"/>
      <c r="L9" s="1"/>
      <c r="M9" s="25"/>
      <c r="N9" s="3"/>
      <c r="O9" s="40">
        <f t="shared" si="2"/>
        <v>0</v>
      </c>
      <c r="Q9" s="2"/>
      <c r="R9" s="1"/>
      <c r="S9" s="1"/>
      <c r="T9" s="1"/>
      <c r="U9" s="25"/>
      <c r="V9" s="3"/>
      <c r="W9" s="6">
        <f t="shared" si="3"/>
        <v>0</v>
      </c>
      <c r="Y9" s="2"/>
      <c r="Z9" s="1"/>
      <c r="AA9" s="1"/>
      <c r="AB9" s="1"/>
      <c r="AC9" s="25"/>
      <c r="AD9" s="3"/>
      <c r="AE9" s="6">
        <f t="shared" si="4"/>
        <v>0</v>
      </c>
      <c r="AG9" s="2"/>
      <c r="AH9" s="1"/>
      <c r="AI9" s="25"/>
      <c r="AJ9" s="1"/>
      <c r="AK9" s="25"/>
      <c r="AL9" s="25"/>
      <c r="AM9" s="3"/>
      <c r="AN9" s="40">
        <f t="shared" si="5"/>
        <v>0</v>
      </c>
    </row>
    <row r="10" spans="1:40" ht="21.75" customHeight="1" x14ac:dyDescent="0.25">
      <c r="A10" s="7" t="s">
        <v>3</v>
      </c>
      <c r="B10" s="33">
        <v>8607</v>
      </c>
      <c r="C10" s="7">
        <v>8475</v>
      </c>
      <c r="D10" s="7">
        <v>8486</v>
      </c>
      <c r="E10" s="17">
        <f t="shared" si="0"/>
        <v>11</v>
      </c>
      <c r="F10" s="7">
        <v>120990</v>
      </c>
      <c r="G10" s="7">
        <v>121130</v>
      </c>
      <c r="H10" s="17">
        <f t="shared" si="1"/>
        <v>140</v>
      </c>
      <c r="I10" s="37">
        <f t="shared" si="6"/>
        <v>13</v>
      </c>
      <c r="J10" s="2">
        <v>3</v>
      </c>
      <c r="K10" s="1"/>
      <c r="L10" s="1"/>
      <c r="M10" s="25"/>
      <c r="N10" s="3"/>
      <c r="O10" s="40">
        <f t="shared" si="2"/>
        <v>0</v>
      </c>
      <c r="Q10" s="2"/>
      <c r="R10" s="1"/>
      <c r="S10" s="1"/>
      <c r="T10" s="1"/>
      <c r="U10" s="25"/>
      <c r="V10" s="3"/>
      <c r="W10" s="6">
        <f t="shared" si="3"/>
        <v>0</v>
      </c>
      <c r="Y10" s="2">
        <v>10</v>
      </c>
      <c r="Z10" s="1"/>
      <c r="AA10" s="1"/>
      <c r="AB10" s="1"/>
      <c r="AC10" s="25"/>
      <c r="AD10" s="3"/>
      <c r="AE10" s="6">
        <f t="shared" si="4"/>
        <v>0</v>
      </c>
      <c r="AG10" s="2"/>
      <c r="AH10" s="1"/>
      <c r="AI10" s="25"/>
      <c r="AJ10" s="1"/>
      <c r="AK10" s="25"/>
      <c r="AL10" s="25"/>
      <c r="AM10" s="3"/>
      <c r="AN10" s="40">
        <f t="shared" si="5"/>
        <v>0</v>
      </c>
    </row>
    <row r="11" spans="1:40" ht="21.75" customHeight="1" x14ac:dyDescent="0.25">
      <c r="A11" s="7" t="s">
        <v>4</v>
      </c>
      <c r="B11" s="33">
        <v>8608</v>
      </c>
      <c r="C11" s="7"/>
      <c r="D11" s="7"/>
      <c r="E11" s="17">
        <f t="shared" si="0"/>
        <v>0</v>
      </c>
      <c r="F11" s="7"/>
      <c r="G11" s="7"/>
      <c r="H11" s="17">
        <f t="shared" si="1"/>
        <v>0</v>
      </c>
      <c r="I11" s="37">
        <f t="shared" si="6"/>
        <v>0</v>
      </c>
      <c r="J11" s="2"/>
      <c r="K11" s="1"/>
      <c r="L11" s="1"/>
      <c r="M11" s="25"/>
      <c r="N11" s="3"/>
      <c r="O11" s="40">
        <f t="shared" si="2"/>
        <v>0</v>
      </c>
      <c r="Q11" s="2"/>
      <c r="R11" s="1"/>
      <c r="S11" s="1"/>
      <c r="T11" s="1"/>
      <c r="U11" s="25"/>
      <c r="V11" s="3"/>
      <c r="W11" s="6">
        <f t="shared" si="3"/>
        <v>0</v>
      </c>
      <c r="Y11" s="2"/>
      <c r="Z11" s="1"/>
      <c r="AA11" s="1"/>
      <c r="AB11" s="1"/>
      <c r="AC11" s="25"/>
      <c r="AD11" s="3"/>
      <c r="AE11" s="6">
        <f t="shared" si="4"/>
        <v>0</v>
      </c>
      <c r="AG11" s="2"/>
      <c r="AH11" s="1"/>
      <c r="AI11" s="25"/>
      <c r="AJ11" s="1"/>
      <c r="AK11" s="25"/>
      <c r="AL11" s="25"/>
      <c r="AM11" s="3"/>
      <c r="AN11" s="40">
        <f t="shared" si="5"/>
        <v>0</v>
      </c>
    </row>
    <row r="12" spans="1:40" ht="21.75" customHeight="1" x14ac:dyDescent="0.25">
      <c r="A12" s="7" t="s">
        <v>5</v>
      </c>
      <c r="B12" s="33">
        <v>8609</v>
      </c>
      <c r="C12" s="7">
        <v>10450</v>
      </c>
      <c r="D12" s="7">
        <v>10459</v>
      </c>
      <c r="E12" s="17">
        <f t="shared" si="0"/>
        <v>9</v>
      </c>
      <c r="F12" s="7">
        <v>136960</v>
      </c>
      <c r="G12" s="7">
        <v>137102</v>
      </c>
      <c r="H12" s="17">
        <f>+G12-F12</f>
        <v>142</v>
      </c>
      <c r="I12" s="37">
        <f t="shared" si="6"/>
        <v>10</v>
      </c>
      <c r="J12" s="2">
        <v>8</v>
      </c>
      <c r="K12" s="1">
        <v>1</v>
      </c>
      <c r="L12" s="1">
        <v>1</v>
      </c>
      <c r="M12" s="25"/>
      <c r="N12" s="3"/>
      <c r="O12" s="40">
        <f t="shared" si="2"/>
        <v>2</v>
      </c>
      <c r="Q12" s="2"/>
      <c r="R12" s="1"/>
      <c r="S12" s="1"/>
      <c r="T12" s="1"/>
      <c r="U12" s="25"/>
      <c r="V12" s="3"/>
      <c r="W12" s="6">
        <f t="shared" si="3"/>
        <v>0</v>
      </c>
      <c r="Y12" s="2"/>
      <c r="Z12" s="1"/>
      <c r="AA12" s="1"/>
      <c r="AB12" s="1"/>
      <c r="AC12" s="25"/>
      <c r="AD12" s="3"/>
      <c r="AE12" s="6">
        <f t="shared" si="4"/>
        <v>0</v>
      </c>
      <c r="AG12" s="2"/>
      <c r="AH12" s="1"/>
      <c r="AI12" s="25"/>
      <c r="AJ12" s="1"/>
      <c r="AK12" s="25"/>
      <c r="AL12" s="25"/>
      <c r="AM12" s="3"/>
      <c r="AN12" s="40">
        <f t="shared" si="5"/>
        <v>0</v>
      </c>
    </row>
    <row r="13" spans="1:40" ht="21.75" customHeight="1" x14ac:dyDescent="0.25">
      <c r="A13" s="7" t="s">
        <v>6</v>
      </c>
      <c r="B13" s="33">
        <v>8610</v>
      </c>
      <c r="C13" s="7">
        <v>5991</v>
      </c>
      <c r="D13" s="7">
        <v>6001</v>
      </c>
      <c r="E13" s="17">
        <f t="shared" si="0"/>
        <v>10</v>
      </c>
      <c r="F13" s="7">
        <v>25815</v>
      </c>
      <c r="G13" s="7">
        <v>25950</v>
      </c>
      <c r="H13" s="17">
        <f>+G13-F13</f>
        <v>135</v>
      </c>
      <c r="I13" s="37">
        <f t="shared" si="6"/>
        <v>8</v>
      </c>
      <c r="J13" s="2">
        <v>8</v>
      </c>
      <c r="K13" s="1"/>
      <c r="L13" s="1"/>
      <c r="M13" s="25"/>
      <c r="N13" s="3"/>
      <c r="O13" s="40">
        <f t="shared" si="2"/>
        <v>0</v>
      </c>
      <c r="Q13" s="2"/>
      <c r="R13" s="1"/>
      <c r="S13" s="1"/>
      <c r="T13" s="1"/>
      <c r="U13" s="25"/>
      <c r="V13" s="3"/>
      <c r="W13" s="6">
        <f t="shared" si="3"/>
        <v>0</v>
      </c>
      <c r="Y13" s="2"/>
      <c r="Z13" s="1"/>
      <c r="AA13" s="1"/>
      <c r="AB13" s="1"/>
      <c r="AC13" s="25"/>
      <c r="AD13" s="3"/>
      <c r="AE13" s="6">
        <f t="shared" si="4"/>
        <v>0</v>
      </c>
      <c r="AG13" s="2"/>
      <c r="AH13" s="1"/>
      <c r="AI13" s="25"/>
      <c r="AJ13" s="1"/>
      <c r="AK13" s="25"/>
      <c r="AL13" s="25"/>
      <c r="AM13" s="3"/>
      <c r="AN13" s="40">
        <f t="shared" si="5"/>
        <v>0</v>
      </c>
    </row>
    <row r="14" spans="1:40" ht="21.75" customHeight="1" x14ac:dyDescent="0.25">
      <c r="A14" s="7" t="s">
        <v>7</v>
      </c>
      <c r="B14" s="33">
        <v>8611</v>
      </c>
      <c r="C14" s="7">
        <v>9523</v>
      </c>
      <c r="D14" s="7">
        <v>9535</v>
      </c>
      <c r="E14" s="17">
        <f t="shared" si="0"/>
        <v>12</v>
      </c>
      <c r="F14" s="7">
        <v>135738</v>
      </c>
      <c r="G14" s="7">
        <v>135877</v>
      </c>
      <c r="H14" s="17">
        <f t="shared" si="1"/>
        <v>139</v>
      </c>
      <c r="I14" s="37">
        <f t="shared" si="6"/>
        <v>13</v>
      </c>
      <c r="J14" s="2"/>
      <c r="K14" s="1"/>
      <c r="L14" s="1"/>
      <c r="M14" s="25"/>
      <c r="N14" s="3"/>
      <c r="O14" s="40">
        <f t="shared" si="2"/>
        <v>0</v>
      </c>
      <c r="Q14" s="2">
        <v>2</v>
      </c>
      <c r="R14" s="1">
        <v>10</v>
      </c>
      <c r="S14" s="1"/>
      <c r="T14" s="1"/>
      <c r="U14" s="25"/>
      <c r="V14" s="3"/>
      <c r="W14" s="6">
        <f t="shared" si="3"/>
        <v>10</v>
      </c>
      <c r="Y14" s="2"/>
      <c r="Z14" s="1"/>
      <c r="AA14" s="1"/>
      <c r="AB14" s="1"/>
      <c r="AC14" s="25"/>
      <c r="AD14" s="3"/>
      <c r="AE14" s="6">
        <f t="shared" si="4"/>
        <v>0</v>
      </c>
      <c r="AG14" s="2">
        <v>1</v>
      </c>
      <c r="AH14" s="1"/>
      <c r="AI14" s="25"/>
      <c r="AJ14" s="1"/>
      <c r="AK14" s="25"/>
      <c r="AL14" s="25"/>
      <c r="AM14" s="3"/>
      <c r="AN14" s="40">
        <f t="shared" si="5"/>
        <v>0</v>
      </c>
    </row>
    <row r="15" spans="1:40" ht="21.75" customHeight="1" x14ac:dyDescent="0.25">
      <c r="A15" s="7" t="s">
        <v>8</v>
      </c>
      <c r="B15" s="33">
        <v>8612</v>
      </c>
      <c r="C15" s="7"/>
      <c r="D15" s="7"/>
      <c r="E15" s="17">
        <f t="shared" si="0"/>
        <v>0</v>
      </c>
      <c r="F15" s="7"/>
      <c r="G15" s="7"/>
      <c r="H15" s="17">
        <f t="shared" si="1"/>
        <v>0</v>
      </c>
      <c r="I15" s="37">
        <f t="shared" si="6"/>
        <v>0</v>
      </c>
      <c r="J15" s="2"/>
      <c r="K15" s="1"/>
      <c r="L15" s="1"/>
      <c r="M15" s="25"/>
      <c r="N15" s="3"/>
      <c r="O15" s="40">
        <f t="shared" si="2"/>
        <v>0</v>
      </c>
      <c r="Q15" s="2"/>
      <c r="R15" s="1"/>
      <c r="S15" s="1"/>
      <c r="T15" s="1"/>
      <c r="U15" s="25"/>
      <c r="V15" s="3"/>
      <c r="W15" s="6">
        <f t="shared" si="3"/>
        <v>0</v>
      </c>
      <c r="Y15" s="2"/>
      <c r="Z15" s="1"/>
      <c r="AA15" s="1"/>
      <c r="AB15" s="1"/>
      <c r="AC15" s="25"/>
      <c r="AD15" s="3"/>
      <c r="AE15" s="6">
        <f t="shared" si="4"/>
        <v>0</v>
      </c>
      <c r="AG15" s="2"/>
      <c r="AH15" s="1"/>
      <c r="AI15" s="25"/>
      <c r="AJ15" s="1"/>
      <c r="AK15" s="25"/>
      <c r="AL15" s="25"/>
      <c r="AM15" s="3"/>
      <c r="AN15" s="40">
        <f t="shared" si="5"/>
        <v>0</v>
      </c>
    </row>
    <row r="16" spans="1:40" ht="21.75" customHeight="1" x14ac:dyDescent="0.25">
      <c r="A16" s="7" t="s">
        <v>9</v>
      </c>
      <c r="B16" s="33">
        <v>8613</v>
      </c>
      <c r="C16" s="7">
        <v>10226</v>
      </c>
      <c r="D16" s="7">
        <v>10238</v>
      </c>
      <c r="E16" s="17">
        <f t="shared" si="0"/>
        <v>12</v>
      </c>
      <c r="F16" s="7">
        <v>93600</v>
      </c>
      <c r="G16" s="7">
        <v>93750</v>
      </c>
      <c r="H16" s="17">
        <f t="shared" si="1"/>
        <v>150</v>
      </c>
      <c r="I16" s="37">
        <f t="shared" si="6"/>
        <v>11</v>
      </c>
      <c r="J16" s="2"/>
      <c r="K16" s="1"/>
      <c r="L16" s="1"/>
      <c r="M16" s="25"/>
      <c r="N16" s="3"/>
      <c r="O16" s="40">
        <f t="shared" si="2"/>
        <v>0</v>
      </c>
      <c r="Q16" s="2"/>
      <c r="R16" s="1">
        <v>2</v>
      </c>
      <c r="S16" s="1"/>
      <c r="T16" s="1"/>
      <c r="U16" s="25"/>
      <c r="V16" s="3"/>
      <c r="W16" s="6">
        <f t="shared" si="3"/>
        <v>2</v>
      </c>
      <c r="Y16" s="2">
        <v>9</v>
      </c>
      <c r="Z16" s="1"/>
      <c r="AA16" s="1"/>
      <c r="AB16" s="1"/>
      <c r="AC16" s="25"/>
      <c r="AD16" s="3"/>
      <c r="AE16" s="6">
        <f t="shared" si="4"/>
        <v>0</v>
      </c>
      <c r="AG16" s="2"/>
      <c r="AH16" s="1"/>
      <c r="AI16" s="25"/>
      <c r="AJ16" s="1"/>
      <c r="AK16" s="25"/>
      <c r="AL16" s="25"/>
      <c r="AM16" s="3"/>
      <c r="AN16" s="40">
        <f t="shared" si="5"/>
        <v>0</v>
      </c>
    </row>
    <row r="17" spans="1:40" ht="21.75" customHeight="1" x14ac:dyDescent="0.25">
      <c r="A17" s="7" t="s">
        <v>10</v>
      </c>
      <c r="B17" s="33">
        <v>8614</v>
      </c>
      <c r="C17" s="7"/>
      <c r="D17" s="7"/>
      <c r="E17" s="17">
        <f t="shared" si="0"/>
        <v>0</v>
      </c>
      <c r="F17" s="7"/>
      <c r="G17" s="7"/>
      <c r="H17" s="17">
        <f t="shared" si="1"/>
        <v>0</v>
      </c>
      <c r="I17" s="37">
        <f t="shared" si="6"/>
        <v>0</v>
      </c>
      <c r="J17" s="2"/>
      <c r="K17" s="1"/>
      <c r="L17" s="1"/>
      <c r="M17" s="25"/>
      <c r="N17" s="3"/>
      <c r="O17" s="40">
        <f t="shared" si="2"/>
        <v>0</v>
      </c>
      <c r="Q17" s="2"/>
      <c r="R17" s="1"/>
      <c r="S17" s="1"/>
      <c r="T17" s="1"/>
      <c r="U17" s="25"/>
      <c r="V17" s="3"/>
      <c r="W17" s="6">
        <f t="shared" si="3"/>
        <v>0</v>
      </c>
      <c r="Y17" s="2"/>
      <c r="Z17" s="1"/>
      <c r="AA17" s="1"/>
      <c r="AB17" s="1"/>
      <c r="AC17" s="25"/>
      <c r="AD17" s="3"/>
      <c r="AE17" s="6">
        <f t="shared" si="4"/>
        <v>0</v>
      </c>
      <c r="AG17" s="2"/>
      <c r="AH17" s="1"/>
      <c r="AI17" s="1"/>
      <c r="AJ17" s="1"/>
      <c r="AK17" s="25"/>
      <c r="AL17" s="25"/>
      <c r="AM17" s="3"/>
      <c r="AN17" s="40">
        <f t="shared" si="5"/>
        <v>0</v>
      </c>
    </row>
    <row r="18" spans="1:40" ht="21.75" customHeight="1" x14ac:dyDescent="0.25">
      <c r="A18" s="7" t="s">
        <v>11</v>
      </c>
      <c r="B18" s="33">
        <v>8615</v>
      </c>
      <c r="C18" s="7">
        <v>9550</v>
      </c>
      <c r="D18" s="7">
        <v>9557</v>
      </c>
      <c r="E18" s="17">
        <f t="shared" si="0"/>
        <v>7</v>
      </c>
      <c r="F18" s="7">
        <v>65800</v>
      </c>
      <c r="G18" s="7">
        <v>65850</v>
      </c>
      <c r="H18" s="17">
        <f t="shared" si="1"/>
        <v>50</v>
      </c>
      <c r="I18" s="37">
        <f t="shared" si="6"/>
        <v>3</v>
      </c>
      <c r="J18" s="2">
        <v>1</v>
      </c>
      <c r="K18" s="1">
        <v>1</v>
      </c>
      <c r="L18" s="1">
        <v>1</v>
      </c>
      <c r="M18" s="25"/>
      <c r="N18" s="3"/>
      <c r="O18" s="40">
        <f t="shared" si="2"/>
        <v>2</v>
      </c>
      <c r="Q18" s="2"/>
      <c r="R18" s="1"/>
      <c r="S18" s="1"/>
      <c r="T18" s="1"/>
      <c r="U18" s="25"/>
      <c r="V18" s="3"/>
      <c r="W18" s="6">
        <f t="shared" si="3"/>
        <v>0</v>
      </c>
      <c r="Y18" s="2"/>
      <c r="Z18" s="1"/>
      <c r="AA18" s="1"/>
      <c r="AB18" s="1"/>
      <c r="AC18" s="25"/>
      <c r="AD18" s="3"/>
      <c r="AE18" s="6">
        <f t="shared" si="4"/>
        <v>0</v>
      </c>
      <c r="AG18" s="2"/>
      <c r="AH18" s="1"/>
      <c r="AI18" s="1"/>
      <c r="AJ18" s="1"/>
      <c r="AK18" s="25"/>
      <c r="AL18" s="25"/>
      <c r="AM18" s="3"/>
      <c r="AN18" s="40">
        <f t="shared" si="5"/>
        <v>0</v>
      </c>
    </row>
    <row r="19" spans="1:40" ht="21.75" customHeight="1" x14ac:dyDescent="0.25">
      <c r="A19" s="7" t="s">
        <v>12</v>
      </c>
      <c r="B19" s="33">
        <v>8616</v>
      </c>
      <c r="C19" s="7">
        <v>9658</v>
      </c>
      <c r="D19" s="7">
        <v>9663</v>
      </c>
      <c r="E19" s="17">
        <f t="shared" si="0"/>
        <v>5</v>
      </c>
      <c r="F19" s="7">
        <v>82407</v>
      </c>
      <c r="G19" s="7">
        <v>82500</v>
      </c>
      <c r="H19" s="17">
        <f t="shared" si="1"/>
        <v>93</v>
      </c>
      <c r="I19" s="37">
        <f t="shared" si="6"/>
        <v>6</v>
      </c>
      <c r="J19" s="2"/>
      <c r="K19" s="1"/>
      <c r="L19" s="1"/>
      <c r="M19" s="25"/>
      <c r="N19" s="3"/>
      <c r="O19" s="40">
        <f t="shared" si="2"/>
        <v>0</v>
      </c>
      <c r="Q19" s="2">
        <v>1</v>
      </c>
      <c r="R19" s="1">
        <v>5</v>
      </c>
      <c r="S19" s="1"/>
      <c r="T19" s="1"/>
      <c r="U19" s="25"/>
      <c r="V19" s="3"/>
      <c r="W19" s="6">
        <f t="shared" si="3"/>
        <v>5</v>
      </c>
      <c r="Y19" s="2"/>
      <c r="Z19" s="1"/>
      <c r="AA19" s="1"/>
      <c r="AB19" s="1"/>
      <c r="AC19" s="25"/>
      <c r="AD19" s="3"/>
      <c r="AE19" s="6">
        <f t="shared" si="4"/>
        <v>0</v>
      </c>
      <c r="AG19" s="2"/>
      <c r="AH19" s="1"/>
      <c r="AI19" s="1"/>
      <c r="AJ19" s="1"/>
      <c r="AK19" s="25"/>
      <c r="AL19" s="25"/>
      <c r="AM19" s="3"/>
      <c r="AN19" s="40">
        <f t="shared" si="5"/>
        <v>0</v>
      </c>
    </row>
    <row r="20" spans="1:40" ht="21.75" customHeight="1" x14ac:dyDescent="0.25">
      <c r="A20" s="7" t="s">
        <v>13</v>
      </c>
      <c r="B20" s="33">
        <v>8617</v>
      </c>
      <c r="C20" s="7">
        <v>8741</v>
      </c>
      <c r="D20" s="7">
        <v>8751</v>
      </c>
      <c r="E20" s="17">
        <f t="shared" si="0"/>
        <v>10</v>
      </c>
      <c r="F20" s="7">
        <v>106213</v>
      </c>
      <c r="G20" s="7">
        <v>106373</v>
      </c>
      <c r="H20" s="17">
        <f t="shared" si="1"/>
        <v>160</v>
      </c>
      <c r="I20" s="37">
        <f t="shared" si="6"/>
        <v>12</v>
      </c>
      <c r="J20" s="2">
        <v>3</v>
      </c>
      <c r="K20" s="1"/>
      <c r="L20" s="1"/>
      <c r="M20" s="25"/>
      <c r="N20" s="3"/>
      <c r="O20" s="40">
        <f t="shared" si="2"/>
        <v>0</v>
      </c>
      <c r="Q20" s="2"/>
      <c r="R20" s="1"/>
      <c r="S20" s="1"/>
      <c r="T20" s="1"/>
      <c r="U20" s="25"/>
      <c r="V20" s="3"/>
      <c r="W20" s="6">
        <f t="shared" si="3"/>
        <v>0</v>
      </c>
      <c r="Y20" s="2">
        <v>9</v>
      </c>
      <c r="Z20" s="1"/>
      <c r="AA20" s="1"/>
      <c r="AB20" s="1"/>
      <c r="AC20" s="25"/>
      <c r="AD20" s="3"/>
      <c r="AE20" s="6">
        <f t="shared" si="4"/>
        <v>0</v>
      </c>
      <c r="AG20" s="2"/>
      <c r="AH20" s="1"/>
      <c r="AI20" s="1"/>
      <c r="AJ20" s="1"/>
      <c r="AK20" s="25"/>
      <c r="AL20" s="25"/>
      <c r="AM20" s="3"/>
      <c r="AN20" s="40">
        <f t="shared" si="5"/>
        <v>0</v>
      </c>
    </row>
    <row r="21" spans="1:40" ht="21.75" customHeight="1" x14ac:dyDescent="0.25">
      <c r="A21" s="7" t="s">
        <v>14</v>
      </c>
      <c r="B21" s="33">
        <v>8618</v>
      </c>
      <c r="C21" s="7"/>
      <c r="D21" s="7"/>
      <c r="E21" s="17">
        <f t="shared" si="0"/>
        <v>0</v>
      </c>
      <c r="F21" s="7"/>
      <c r="G21" s="7"/>
      <c r="H21" s="17">
        <f t="shared" si="1"/>
        <v>0</v>
      </c>
      <c r="I21" s="37">
        <f t="shared" si="6"/>
        <v>0</v>
      </c>
      <c r="J21" s="2"/>
      <c r="K21" s="1"/>
      <c r="L21" s="1"/>
      <c r="M21" s="25"/>
      <c r="N21" s="3"/>
      <c r="O21" s="40">
        <f t="shared" si="2"/>
        <v>0</v>
      </c>
      <c r="Q21" s="2"/>
      <c r="R21" s="1"/>
      <c r="S21" s="1"/>
      <c r="T21" s="1"/>
      <c r="U21" s="25"/>
      <c r="V21" s="3"/>
      <c r="W21" s="6">
        <f t="shared" si="3"/>
        <v>0</v>
      </c>
      <c r="Y21" s="2"/>
      <c r="Z21" s="1"/>
      <c r="AA21" s="1"/>
      <c r="AB21" s="1"/>
      <c r="AC21" s="25"/>
      <c r="AD21" s="3"/>
      <c r="AE21" s="6">
        <f t="shared" si="4"/>
        <v>0</v>
      </c>
      <c r="AG21" s="2"/>
      <c r="AH21" s="1"/>
      <c r="AI21" s="1"/>
      <c r="AJ21" s="1"/>
      <c r="AK21" s="25"/>
      <c r="AL21" s="25"/>
      <c r="AM21" s="3"/>
      <c r="AN21" s="40">
        <f t="shared" si="5"/>
        <v>0</v>
      </c>
    </row>
    <row r="22" spans="1:40" ht="21.75" customHeight="1" x14ac:dyDescent="0.25">
      <c r="A22" s="7" t="s">
        <v>15</v>
      </c>
      <c r="B22" s="33">
        <v>8619</v>
      </c>
      <c r="C22" s="7">
        <v>9935</v>
      </c>
      <c r="D22" s="7">
        <v>9947</v>
      </c>
      <c r="E22" s="17">
        <f t="shared" si="0"/>
        <v>12</v>
      </c>
      <c r="F22" s="7">
        <v>113800</v>
      </c>
      <c r="G22" s="7">
        <v>113940</v>
      </c>
      <c r="H22" s="17">
        <f t="shared" si="1"/>
        <v>140</v>
      </c>
      <c r="I22" s="37">
        <f t="shared" si="6"/>
        <v>11</v>
      </c>
      <c r="J22" s="2"/>
      <c r="K22" s="1"/>
      <c r="L22" s="1"/>
      <c r="M22" s="25"/>
      <c r="N22" s="3"/>
      <c r="O22" s="40">
        <f t="shared" si="2"/>
        <v>0</v>
      </c>
      <c r="Q22" s="2"/>
      <c r="R22" s="1"/>
      <c r="S22" s="1"/>
      <c r="T22" s="1"/>
      <c r="U22" s="25"/>
      <c r="V22" s="3"/>
      <c r="W22" s="6">
        <f t="shared" si="3"/>
        <v>0</v>
      </c>
      <c r="Y22" s="2">
        <v>2</v>
      </c>
      <c r="Z22" s="1"/>
      <c r="AA22" s="1"/>
      <c r="AB22" s="1"/>
      <c r="AC22" s="25"/>
      <c r="AD22" s="3"/>
      <c r="AE22" s="6">
        <f t="shared" si="4"/>
        <v>0</v>
      </c>
      <c r="AG22" s="2">
        <v>9</v>
      </c>
      <c r="AH22" s="1"/>
      <c r="AI22" s="1"/>
      <c r="AJ22" s="1"/>
      <c r="AK22" s="25"/>
      <c r="AL22" s="25"/>
      <c r="AM22" s="3"/>
      <c r="AN22" s="40">
        <f t="shared" si="5"/>
        <v>0</v>
      </c>
    </row>
    <row r="23" spans="1:40" ht="21.75" customHeight="1" x14ac:dyDescent="0.25">
      <c r="A23" s="7" t="s">
        <v>16</v>
      </c>
      <c r="B23" s="33">
        <v>8620</v>
      </c>
      <c r="C23" s="7">
        <v>9854</v>
      </c>
      <c r="D23" s="7">
        <v>9864</v>
      </c>
      <c r="E23" s="17">
        <f t="shared" si="0"/>
        <v>10</v>
      </c>
      <c r="F23" s="7">
        <v>136095</v>
      </c>
      <c r="G23" s="7">
        <v>136200</v>
      </c>
      <c r="H23" s="17">
        <f t="shared" si="1"/>
        <v>105</v>
      </c>
      <c r="I23" s="37">
        <f t="shared" si="6"/>
        <v>10</v>
      </c>
      <c r="J23" s="2">
        <v>6</v>
      </c>
      <c r="K23" s="1">
        <v>1</v>
      </c>
      <c r="L23" s="1"/>
      <c r="M23" s="25"/>
      <c r="N23" s="3"/>
      <c r="O23" s="40">
        <f t="shared" si="2"/>
        <v>1</v>
      </c>
      <c r="Q23" s="2"/>
      <c r="R23" s="1"/>
      <c r="S23" s="1"/>
      <c r="T23" s="1"/>
      <c r="U23" s="25"/>
      <c r="V23" s="3"/>
      <c r="W23" s="6">
        <f t="shared" si="3"/>
        <v>0</v>
      </c>
      <c r="Y23" s="2">
        <v>3</v>
      </c>
      <c r="Z23" s="1"/>
      <c r="AA23" s="1"/>
      <c r="AB23" s="1"/>
      <c r="AC23" s="25"/>
      <c r="AD23" s="3"/>
      <c r="AE23" s="6">
        <f t="shared" si="4"/>
        <v>0</v>
      </c>
      <c r="AG23" s="2"/>
      <c r="AH23" s="1"/>
      <c r="AI23" s="1"/>
      <c r="AJ23" s="1"/>
      <c r="AK23" s="25"/>
      <c r="AL23" s="25"/>
      <c r="AM23" s="3"/>
      <c r="AN23" s="40">
        <f t="shared" si="5"/>
        <v>0</v>
      </c>
    </row>
    <row r="24" spans="1:40" ht="21.75" customHeight="1" x14ac:dyDescent="0.25">
      <c r="A24" s="7" t="s">
        <v>17</v>
      </c>
      <c r="B24" s="33">
        <v>8621</v>
      </c>
      <c r="C24" s="7">
        <v>12908</v>
      </c>
      <c r="D24" s="7">
        <v>12919</v>
      </c>
      <c r="E24" s="17">
        <f t="shared" si="0"/>
        <v>11</v>
      </c>
      <c r="F24" s="7">
        <v>159746</v>
      </c>
      <c r="G24" s="7">
        <v>159844</v>
      </c>
      <c r="H24" s="17">
        <f t="shared" si="1"/>
        <v>98</v>
      </c>
      <c r="I24" s="37">
        <f t="shared" si="6"/>
        <v>8</v>
      </c>
      <c r="J24" s="2"/>
      <c r="K24" s="1"/>
      <c r="L24" s="1"/>
      <c r="M24" s="25"/>
      <c r="N24" s="3"/>
      <c r="O24" s="40">
        <f t="shared" si="2"/>
        <v>0</v>
      </c>
      <c r="Q24" s="2"/>
      <c r="R24" s="1">
        <v>8</v>
      </c>
      <c r="S24" s="1"/>
      <c r="T24" s="1"/>
      <c r="U24" s="25"/>
      <c r="V24" s="3"/>
      <c r="W24" s="6">
        <f t="shared" si="3"/>
        <v>8</v>
      </c>
      <c r="Y24" s="2"/>
      <c r="Z24" s="1"/>
      <c r="AA24" s="1"/>
      <c r="AB24" s="1"/>
      <c r="AC24" s="25"/>
      <c r="AD24" s="3"/>
      <c r="AE24" s="6">
        <f t="shared" si="4"/>
        <v>0</v>
      </c>
      <c r="AG24" s="2"/>
      <c r="AH24" s="1"/>
      <c r="AI24" s="1"/>
      <c r="AJ24" s="1"/>
      <c r="AK24" s="25"/>
      <c r="AL24" s="25"/>
      <c r="AM24" s="3"/>
      <c r="AN24" s="40">
        <f t="shared" si="5"/>
        <v>0</v>
      </c>
    </row>
    <row r="25" spans="1:40" ht="21.75" customHeight="1" x14ac:dyDescent="0.25">
      <c r="A25" s="7" t="s">
        <v>18</v>
      </c>
      <c r="B25" s="33">
        <v>8622</v>
      </c>
      <c r="C25" s="7">
        <v>13208</v>
      </c>
      <c r="D25" s="7">
        <v>13220</v>
      </c>
      <c r="E25" s="17">
        <f t="shared" si="0"/>
        <v>12</v>
      </c>
      <c r="F25" s="7">
        <v>171672</v>
      </c>
      <c r="G25" s="7">
        <v>171811</v>
      </c>
      <c r="H25" s="17">
        <f t="shared" si="1"/>
        <v>139</v>
      </c>
      <c r="I25" s="37">
        <f t="shared" si="6"/>
        <v>10</v>
      </c>
      <c r="J25" s="2"/>
      <c r="K25" s="1"/>
      <c r="L25" s="1"/>
      <c r="M25" s="25"/>
      <c r="N25" s="3"/>
      <c r="O25" s="40">
        <f t="shared" si="2"/>
        <v>0</v>
      </c>
      <c r="Q25" s="2"/>
      <c r="R25" s="1"/>
      <c r="S25" s="1"/>
      <c r="T25" s="1"/>
      <c r="U25" s="25"/>
      <c r="V25" s="3"/>
      <c r="W25" s="6">
        <f t="shared" si="3"/>
        <v>0</v>
      </c>
      <c r="Y25" s="2">
        <v>7</v>
      </c>
      <c r="Z25" s="1"/>
      <c r="AA25" s="1"/>
      <c r="AB25" s="1"/>
      <c r="AC25" s="25"/>
      <c r="AD25" s="3"/>
      <c r="AE25" s="6">
        <f t="shared" si="4"/>
        <v>0</v>
      </c>
      <c r="AG25" s="2">
        <v>3</v>
      </c>
      <c r="AH25" s="1"/>
      <c r="AI25" s="1"/>
      <c r="AJ25" s="1"/>
      <c r="AK25" s="25"/>
      <c r="AL25" s="25"/>
      <c r="AM25" s="3"/>
      <c r="AN25" s="40">
        <f t="shared" si="5"/>
        <v>0</v>
      </c>
    </row>
    <row r="26" spans="1:40" ht="21.75" customHeight="1" x14ac:dyDescent="0.25">
      <c r="A26" s="7" t="s">
        <v>19</v>
      </c>
      <c r="B26" s="33">
        <v>8623</v>
      </c>
      <c r="C26" s="7">
        <v>13200</v>
      </c>
      <c r="D26" s="7">
        <v>13210</v>
      </c>
      <c r="E26" s="17">
        <f t="shared" si="0"/>
        <v>10</v>
      </c>
      <c r="F26" s="7">
        <v>174445</v>
      </c>
      <c r="G26" s="7">
        <v>174553</v>
      </c>
      <c r="H26" s="17">
        <f t="shared" si="1"/>
        <v>108</v>
      </c>
      <c r="I26" s="37">
        <f t="shared" si="6"/>
        <v>8</v>
      </c>
      <c r="J26" s="38"/>
      <c r="K26" s="39"/>
      <c r="L26" s="39"/>
      <c r="M26" s="51"/>
      <c r="N26" s="36"/>
      <c r="O26" s="40">
        <f t="shared" si="2"/>
        <v>0</v>
      </c>
      <c r="Q26" s="2"/>
      <c r="R26" s="1"/>
      <c r="S26" s="1"/>
      <c r="T26" s="1"/>
      <c r="U26" s="25"/>
      <c r="V26" s="3"/>
      <c r="W26" s="6">
        <f t="shared" si="3"/>
        <v>0</v>
      </c>
      <c r="Y26" s="2"/>
      <c r="Z26" s="1"/>
      <c r="AA26" s="1"/>
      <c r="AB26" s="1"/>
      <c r="AC26" s="25"/>
      <c r="AD26" s="3"/>
      <c r="AE26" s="6">
        <f t="shared" si="4"/>
        <v>0</v>
      </c>
      <c r="AG26" s="2">
        <v>8</v>
      </c>
      <c r="AH26" s="27"/>
      <c r="AI26" s="1"/>
      <c r="AJ26" s="1"/>
      <c r="AK26" s="25"/>
      <c r="AL26" s="25"/>
      <c r="AM26" s="3"/>
      <c r="AN26" s="40">
        <f t="shared" si="5"/>
        <v>0</v>
      </c>
    </row>
    <row r="27" spans="1:40" ht="21.75" customHeight="1" x14ac:dyDescent="0.25">
      <c r="A27" s="7" t="s">
        <v>20</v>
      </c>
      <c r="B27" s="33">
        <v>8624</v>
      </c>
      <c r="C27" s="7">
        <v>4786</v>
      </c>
      <c r="D27" s="7">
        <v>4797</v>
      </c>
      <c r="E27" s="17">
        <f t="shared" si="0"/>
        <v>11</v>
      </c>
      <c r="F27" s="7">
        <v>229450</v>
      </c>
      <c r="G27" s="7">
        <v>229588</v>
      </c>
      <c r="H27" s="17">
        <f t="shared" si="1"/>
        <v>138</v>
      </c>
      <c r="I27" s="37">
        <f t="shared" si="6"/>
        <v>12</v>
      </c>
      <c r="J27" s="2">
        <v>9</v>
      </c>
      <c r="K27" s="1">
        <v>2</v>
      </c>
      <c r="L27" s="1">
        <v>1</v>
      </c>
      <c r="M27" s="25"/>
      <c r="N27" s="3"/>
      <c r="O27" s="40">
        <f t="shared" si="2"/>
        <v>3</v>
      </c>
      <c r="Q27" s="2"/>
      <c r="R27" s="1"/>
      <c r="S27" s="1"/>
      <c r="T27" s="1"/>
      <c r="U27" s="25"/>
      <c r="V27" s="3"/>
      <c r="W27" s="6">
        <f t="shared" si="3"/>
        <v>0</v>
      </c>
      <c r="Y27" s="2"/>
      <c r="Z27" s="1"/>
      <c r="AA27" s="1"/>
      <c r="AB27" s="1"/>
      <c r="AC27" s="25"/>
      <c r="AD27" s="3"/>
      <c r="AE27" s="6">
        <f t="shared" si="4"/>
        <v>0</v>
      </c>
      <c r="AG27" s="2"/>
      <c r="AH27" s="27"/>
      <c r="AI27" s="1"/>
      <c r="AJ27" s="1"/>
      <c r="AK27" s="25"/>
      <c r="AL27" s="25"/>
      <c r="AM27" s="3"/>
      <c r="AN27" s="40">
        <f t="shared" si="5"/>
        <v>0</v>
      </c>
    </row>
    <row r="28" spans="1:40" ht="21.75" customHeight="1" x14ac:dyDescent="0.25">
      <c r="A28" s="7" t="s">
        <v>21</v>
      </c>
      <c r="B28" s="33">
        <v>8625</v>
      </c>
      <c r="C28" s="7">
        <v>6847</v>
      </c>
      <c r="D28" s="7">
        <v>6859</v>
      </c>
      <c r="E28" s="17">
        <f t="shared" si="0"/>
        <v>12</v>
      </c>
      <c r="F28" s="7">
        <v>273892</v>
      </c>
      <c r="G28" s="7">
        <v>274008</v>
      </c>
      <c r="H28" s="17">
        <f t="shared" si="1"/>
        <v>116</v>
      </c>
      <c r="I28" s="37">
        <f t="shared" si="6"/>
        <v>11</v>
      </c>
      <c r="J28" s="2"/>
      <c r="K28" s="1"/>
      <c r="L28" s="1"/>
      <c r="M28" s="25"/>
      <c r="N28" s="3"/>
      <c r="O28" s="40">
        <f t="shared" si="2"/>
        <v>0</v>
      </c>
      <c r="Q28" s="2"/>
      <c r="R28" s="1">
        <v>11</v>
      </c>
      <c r="S28" s="1"/>
      <c r="T28" s="1"/>
      <c r="U28" s="25"/>
      <c r="V28" s="3"/>
      <c r="W28" s="6">
        <f t="shared" si="3"/>
        <v>11</v>
      </c>
      <c r="Y28" s="2"/>
      <c r="Z28" s="1"/>
      <c r="AA28" s="1"/>
      <c r="AB28" s="1"/>
      <c r="AC28" s="25"/>
      <c r="AD28" s="3"/>
      <c r="AE28" s="6">
        <f t="shared" si="4"/>
        <v>0</v>
      </c>
      <c r="AG28" s="2"/>
      <c r="AH28" s="27"/>
      <c r="AI28" s="1"/>
      <c r="AJ28" s="1"/>
      <c r="AK28" s="25"/>
      <c r="AL28" s="25"/>
      <c r="AM28" s="3"/>
      <c r="AN28" s="40">
        <f t="shared" si="5"/>
        <v>0</v>
      </c>
    </row>
    <row r="29" spans="1:40" ht="21.75" customHeight="1" x14ac:dyDescent="0.25">
      <c r="A29" s="7" t="s">
        <v>22</v>
      </c>
      <c r="B29" s="33">
        <v>8626</v>
      </c>
      <c r="C29" s="7"/>
      <c r="D29" s="7"/>
      <c r="E29" s="17">
        <f t="shared" si="0"/>
        <v>0</v>
      </c>
      <c r="F29" s="7"/>
      <c r="G29" s="7"/>
      <c r="H29" s="17">
        <f t="shared" si="1"/>
        <v>0</v>
      </c>
      <c r="I29" s="37">
        <f t="shared" si="6"/>
        <v>0</v>
      </c>
      <c r="J29" s="2"/>
      <c r="K29" s="1"/>
      <c r="L29" s="1"/>
      <c r="M29" s="25"/>
      <c r="N29" s="3"/>
      <c r="O29" s="40">
        <f t="shared" si="2"/>
        <v>0</v>
      </c>
      <c r="Q29" s="2"/>
      <c r="R29" s="1"/>
      <c r="S29" s="1"/>
      <c r="T29" s="1"/>
      <c r="U29" s="25"/>
      <c r="V29" s="3"/>
      <c r="W29" s="6">
        <f t="shared" si="3"/>
        <v>0</v>
      </c>
      <c r="Y29" s="2"/>
      <c r="Z29" s="1"/>
      <c r="AA29" s="1"/>
      <c r="AB29" s="1"/>
      <c r="AC29" s="25"/>
      <c r="AD29" s="3"/>
      <c r="AE29" s="6">
        <f t="shared" si="4"/>
        <v>0</v>
      </c>
      <c r="AG29" s="2"/>
      <c r="AH29" s="27"/>
      <c r="AI29" s="1"/>
      <c r="AJ29" s="1"/>
      <c r="AK29" s="25"/>
      <c r="AL29" s="25"/>
      <c r="AM29" s="3"/>
      <c r="AN29" s="40">
        <f t="shared" si="5"/>
        <v>0</v>
      </c>
    </row>
    <row r="30" spans="1:40" ht="21.75" customHeight="1" x14ac:dyDescent="0.25">
      <c r="A30" s="7" t="s">
        <v>23</v>
      </c>
      <c r="B30" s="33">
        <v>8627</v>
      </c>
      <c r="C30" s="7">
        <v>10918</v>
      </c>
      <c r="D30" s="7">
        <v>10925</v>
      </c>
      <c r="E30" s="17">
        <f t="shared" si="0"/>
        <v>7</v>
      </c>
      <c r="F30" s="7">
        <v>134966</v>
      </c>
      <c r="G30" s="7">
        <v>135059</v>
      </c>
      <c r="H30" s="17">
        <f>+G30-F30</f>
        <v>93</v>
      </c>
      <c r="I30" s="37">
        <f t="shared" si="6"/>
        <v>7</v>
      </c>
      <c r="J30" s="2"/>
      <c r="K30" s="1"/>
      <c r="L30" s="1"/>
      <c r="M30" s="25"/>
      <c r="N30" s="3"/>
      <c r="O30" s="40">
        <f t="shared" si="2"/>
        <v>0</v>
      </c>
      <c r="Q30" s="2"/>
      <c r="R30" s="1"/>
      <c r="S30" s="1"/>
      <c r="T30" s="1"/>
      <c r="U30" s="25"/>
      <c r="V30" s="3"/>
      <c r="W30" s="6">
        <f t="shared" si="3"/>
        <v>0</v>
      </c>
      <c r="Y30" s="2">
        <v>7</v>
      </c>
      <c r="Z30" s="1"/>
      <c r="AA30" s="1"/>
      <c r="AB30" s="1"/>
      <c r="AC30" s="25"/>
      <c r="AD30" s="3"/>
      <c r="AE30" s="6">
        <f t="shared" si="4"/>
        <v>0</v>
      </c>
      <c r="AG30" s="2"/>
      <c r="AH30" s="27"/>
      <c r="AI30" s="1"/>
      <c r="AJ30" s="1"/>
      <c r="AK30" s="25"/>
      <c r="AL30" s="25"/>
      <c r="AM30" s="3"/>
      <c r="AN30" s="40">
        <f t="shared" si="5"/>
        <v>0</v>
      </c>
    </row>
    <row r="31" spans="1:40" ht="21.75" customHeight="1" x14ac:dyDescent="0.25">
      <c r="A31" s="7" t="s">
        <v>24</v>
      </c>
      <c r="B31" s="33">
        <v>8628</v>
      </c>
      <c r="C31" s="7">
        <v>10586</v>
      </c>
      <c r="D31" s="7">
        <v>10598</v>
      </c>
      <c r="E31" s="17">
        <f t="shared" si="0"/>
        <v>12</v>
      </c>
      <c r="F31" s="7">
        <v>142697</v>
      </c>
      <c r="G31" s="7">
        <v>142834</v>
      </c>
      <c r="H31" s="17">
        <f t="shared" si="1"/>
        <v>137</v>
      </c>
      <c r="I31" s="37">
        <f t="shared" si="6"/>
        <v>12</v>
      </c>
      <c r="J31" s="2"/>
      <c r="K31" s="1"/>
      <c r="L31" s="1"/>
      <c r="M31" s="25"/>
      <c r="N31" s="3"/>
      <c r="O31" s="40">
        <f t="shared" si="2"/>
        <v>0</v>
      </c>
      <c r="Q31" s="2"/>
      <c r="R31" s="1"/>
      <c r="S31" s="1"/>
      <c r="T31" s="1"/>
      <c r="U31" s="25"/>
      <c r="V31" s="3"/>
      <c r="W31" s="6">
        <f t="shared" si="3"/>
        <v>0</v>
      </c>
      <c r="Y31" s="2"/>
      <c r="Z31" s="1"/>
      <c r="AA31" s="1"/>
      <c r="AB31" s="1"/>
      <c r="AC31" s="25"/>
      <c r="AD31" s="3"/>
      <c r="AE31" s="6">
        <f t="shared" si="4"/>
        <v>0</v>
      </c>
      <c r="AG31" s="2">
        <v>12</v>
      </c>
      <c r="AH31" s="27"/>
      <c r="AI31" s="1"/>
      <c r="AJ31" s="1"/>
      <c r="AK31" s="25"/>
      <c r="AL31" s="25"/>
      <c r="AM31" s="3"/>
      <c r="AN31" s="40">
        <f t="shared" si="5"/>
        <v>0</v>
      </c>
    </row>
    <row r="32" spans="1:40" ht="21.75" customHeight="1" x14ac:dyDescent="0.25">
      <c r="A32" s="7" t="s">
        <v>25</v>
      </c>
      <c r="B32" s="33">
        <v>8629</v>
      </c>
      <c r="C32" s="7">
        <v>10740</v>
      </c>
      <c r="D32" s="7">
        <v>10750</v>
      </c>
      <c r="E32" s="17">
        <f t="shared" si="0"/>
        <v>10</v>
      </c>
      <c r="F32" s="7">
        <v>139720</v>
      </c>
      <c r="G32" s="7">
        <v>139868</v>
      </c>
      <c r="H32" s="17">
        <f t="shared" si="1"/>
        <v>148</v>
      </c>
      <c r="I32" s="37">
        <f t="shared" si="6"/>
        <v>12</v>
      </c>
      <c r="J32" s="2">
        <v>9</v>
      </c>
      <c r="K32" s="1">
        <v>2</v>
      </c>
      <c r="L32" s="1">
        <v>1</v>
      </c>
      <c r="M32" s="25"/>
      <c r="N32" s="3"/>
      <c r="O32" s="40">
        <f t="shared" si="2"/>
        <v>3</v>
      </c>
      <c r="Q32" s="2"/>
      <c r="R32" s="1"/>
      <c r="S32" s="1"/>
      <c r="T32" s="1"/>
      <c r="U32" s="25"/>
      <c r="V32" s="3"/>
      <c r="W32" s="6">
        <f t="shared" si="3"/>
        <v>0</v>
      </c>
      <c r="Y32" s="2"/>
      <c r="Z32" s="1"/>
      <c r="AA32" s="1"/>
      <c r="AB32" s="1"/>
      <c r="AC32" s="25"/>
      <c r="AD32" s="3"/>
      <c r="AE32" s="6">
        <f t="shared" si="4"/>
        <v>0</v>
      </c>
      <c r="AG32" s="2"/>
      <c r="AH32" s="27"/>
      <c r="AI32" s="1"/>
      <c r="AJ32" s="1"/>
      <c r="AK32" s="25"/>
      <c r="AL32" s="25"/>
      <c r="AM32" s="3"/>
      <c r="AN32" s="40">
        <f t="shared" si="5"/>
        <v>0</v>
      </c>
    </row>
    <row r="33" spans="1:40" ht="21.75" customHeight="1" x14ac:dyDescent="0.25">
      <c r="A33" s="7" t="s">
        <v>26</v>
      </c>
      <c r="B33" s="33">
        <v>8630</v>
      </c>
      <c r="C33" s="7">
        <v>5523.5</v>
      </c>
      <c r="D33" s="7">
        <v>5535</v>
      </c>
      <c r="E33" s="17">
        <f t="shared" si="0"/>
        <v>11.5</v>
      </c>
      <c r="F33" s="7">
        <v>69310</v>
      </c>
      <c r="G33" s="7">
        <v>69428</v>
      </c>
      <c r="H33" s="17">
        <f t="shared" si="1"/>
        <v>118</v>
      </c>
      <c r="I33" s="37">
        <f t="shared" si="6"/>
        <v>11</v>
      </c>
      <c r="J33" s="2"/>
      <c r="K33" s="1"/>
      <c r="L33" s="1"/>
      <c r="M33" s="25"/>
      <c r="N33" s="3"/>
      <c r="O33" s="40">
        <f t="shared" si="2"/>
        <v>0</v>
      </c>
      <c r="Q33" s="2">
        <v>1</v>
      </c>
      <c r="R33" s="1">
        <v>9</v>
      </c>
      <c r="S33" s="1"/>
      <c r="T33" s="1"/>
      <c r="U33" s="25"/>
      <c r="V33" s="3"/>
      <c r="W33" s="6">
        <f t="shared" si="3"/>
        <v>9</v>
      </c>
      <c r="Y33" s="2"/>
      <c r="Z33" s="1"/>
      <c r="AA33" s="1"/>
      <c r="AB33" s="1"/>
      <c r="AC33" s="25"/>
      <c r="AD33" s="3"/>
      <c r="AE33" s="6">
        <f t="shared" si="4"/>
        <v>0</v>
      </c>
      <c r="AG33" s="2">
        <v>1</v>
      </c>
      <c r="AH33" s="27"/>
      <c r="AI33" s="1"/>
      <c r="AJ33" s="1"/>
      <c r="AK33" s="25"/>
      <c r="AL33" s="25"/>
      <c r="AM33" s="3"/>
      <c r="AN33" s="40">
        <f t="shared" si="5"/>
        <v>0</v>
      </c>
    </row>
    <row r="34" spans="1:40" ht="21.75" customHeight="1" x14ac:dyDescent="0.25">
      <c r="A34" s="7" t="s">
        <v>27</v>
      </c>
      <c r="B34" s="33">
        <v>8632</v>
      </c>
      <c r="C34" s="7">
        <v>8660</v>
      </c>
      <c r="D34" s="7">
        <v>8672</v>
      </c>
      <c r="E34" s="17">
        <f t="shared" si="0"/>
        <v>12</v>
      </c>
      <c r="F34" s="7">
        <v>120720</v>
      </c>
      <c r="G34" s="7">
        <v>120850</v>
      </c>
      <c r="H34" s="17">
        <f t="shared" si="1"/>
        <v>130</v>
      </c>
      <c r="I34" s="37">
        <f t="shared" si="6"/>
        <v>13</v>
      </c>
      <c r="J34" s="2"/>
      <c r="K34" s="1"/>
      <c r="L34" s="1"/>
      <c r="M34" s="25"/>
      <c r="N34" s="3"/>
      <c r="O34" s="40">
        <f t="shared" si="2"/>
        <v>0</v>
      </c>
      <c r="Q34" s="2"/>
      <c r="R34" s="1"/>
      <c r="S34" s="1"/>
      <c r="T34" s="1"/>
      <c r="U34" s="25"/>
      <c r="V34" s="3"/>
      <c r="W34" s="6">
        <f t="shared" si="3"/>
        <v>0</v>
      </c>
      <c r="Y34" s="2">
        <v>8</v>
      </c>
      <c r="Z34" s="1"/>
      <c r="AA34" s="1"/>
      <c r="AB34" s="1"/>
      <c r="AC34" s="25"/>
      <c r="AD34" s="3"/>
      <c r="AE34" s="6">
        <f t="shared" si="4"/>
        <v>0</v>
      </c>
      <c r="AG34" s="2">
        <v>5</v>
      </c>
      <c r="AH34" s="27"/>
      <c r="AI34" s="1"/>
      <c r="AJ34" s="1"/>
      <c r="AK34" s="25"/>
      <c r="AL34" s="25"/>
      <c r="AM34" s="3"/>
      <c r="AN34" s="40">
        <f t="shared" si="5"/>
        <v>0</v>
      </c>
    </row>
    <row r="35" spans="1:40" ht="21.75" customHeight="1" x14ac:dyDescent="0.25">
      <c r="A35" s="7" t="s">
        <v>34</v>
      </c>
      <c r="B35" s="33">
        <v>8633</v>
      </c>
      <c r="C35" s="7">
        <v>7584</v>
      </c>
      <c r="D35" s="7">
        <v>7594</v>
      </c>
      <c r="E35" s="17">
        <f t="shared" si="0"/>
        <v>10</v>
      </c>
      <c r="F35" s="7">
        <v>94820</v>
      </c>
      <c r="G35" s="7">
        <v>94950</v>
      </c>
      <c r="H35" s="17">
        <f t="shared" si="1"/>
        <v>130</v>
      </c>
      <c r="I35" s="37">
        <f t="shared" si="6"/>
        <v>12</v>
      </c>
      <c r="J35" s="2"/>
      <c r="K35" s="1"/>
      <c r="L35" s="1"/>
      <c r="M35" s="25"/>
      <c r="N35" s="3"/>
      <c r="O35" s="40">
        <f t="shared" si="2"/>
        <v>0</v>
      </c>
      <c r="Q35" s="2"/>
      <c r="R35" s="1"/>
      <c r="S35" s="1"/>
      <c r="T35" s="1"/>
      <c r="U35" s="25"/>
      <c r="V35" s="3"/>
      <c r="W35" s="6">
        <f t="shared" si="3"/>
        <v>0</v>
      </c>
      <c r="Y35" s="2"/>
      <c r="Z35" s="1"/>
      <c r="AA35" s="1"/>
      <c r="AB35" s="1"/>
      <c r="AC35" s="25"/>
      <c r="AD35" s="3"/>
      <c r="AE35" s="6">
        <f t="shared" si="4"/>
        <v>0</v>
      </c>
      <c r="AG35" s="2">
        <v>12</v>
      </c>
      <c r="AH35" s="27"/>
      <c r="AI35" s="1"/>
      <c r="AJ35" s="1"/>
      <c r="AK35" s="25"/>
      <c r="AL35" s="25"/>
      <c r="AM35" s="3"/>
      <c r="AN35" s="40">
        <f t="shared" si="5"/>
        <v>0</v>
      </c>
    </row>
    <row r="36" spans="1:40" ht="21.75" customHeight="1" x14ac:dyDescent="0.25">
      <c r="A36" s="7" t="s">
        <v>33</v>
      </c>
      <c r="B36" s="34">
        <v>8644</v>
      </c>
      <c r="C36" s="7">
        <v>10597</v>
      </c>
      <c r="D36" s="7">
        <v>10604</v>
      </c>
      <c r="E36" s="17">
        <f t="shared" si="0"/>
        <v>7</v>
      </c>
      <c r="F36" s="7">
        <v>139231</v>
      </c>
      <c r="G36" s="7">
        <v>139364</v>
      </c>
      <c r="H36" s="17">
        <f t="shared" si="1"/>
        <v>133</v>
      </c>
      <c r="I36" s="37">
        <f t="shared" si="6"/>
        <v>10</v>
      </c>
      <c r="J36" s="2">
        <v>7</v>
      </c>
      <c r="K36" s="1">
        <v>2</v>
      </c>
      <c r="L36" s="1">
        <v>1</v>
      </c>
      <c r="M36" s="25"/>
      <c r="N36" s="3"/>
      <c r="O36" s="40">
        <f t="shared" si="2"/>
        <v>3</v>
      </c>
      <c r="Q36" s="2"/>
      <c r="R36" s="1"/>
      <c r="S36" s="1"/>
      <c r="T36" s="1"/>
      <c r="U36" s="25"/>
      <c r="V36" s="3"/>
      <c r="W36" s="6">
        <f t="shared" si="3"/>
        <v>0</v>
      </c>
      <c r="Y36" s="2"/>
      <c r="Z36" s="1"/>
      <c r="AA36" s="1"/>
      <c r="AB36" s="1"/>
      <c r="AC36" s="25"/>
      <c r="AD36" s="3"/>
      <c r="AE36" s="6">
        <f t="shared" si="4"/>
        <v>0</v>
      </c>
      <c r="AG36" s="2"/>
      <c r="AH36" s="27"/>
      <c r="AI36" s="1"/>
      <c r="AJ36" s="1"/>
      <c r="AK36" s="25"/>
      <c r="AL36" s="25"/>
      <c r="AM36" s="3"/>
      <c r="AN36" s="40">
        <f t="shared" si="5"/>
        <v>0</v>
      </c>
    </row>
    <row r="37" spans="1:40" ht="21.75" customHeight="1" x14ac:dyDescent="0.25">
      <c r="A37" s="7" t="s">
        <v>33</v>
      </c>
      <c r="B37" s="34">
        <v>8645</v>
      </c>
      <c r="C37" s="7">
        <v>10296</v>
      </c>
      <c r="D37" s="7">
        <v>10306</v>
      </c>
      <c r="E37" s="17">
        <f t="shared" si="0"/>
        <v>10</v>
      </c>
      <c r="F37" s="7">
        <v>141559</v>
      </c>
      <c r="G37" s="7">
        <v>141677</v>
      </c>
      <c r="H37" s="17">
        <f t="shared" si="1"/>
        <v>118</v>
      </c>
      <c r="I37" s="37">
        <f t="shared" si="6"/>
        <v>10</v>
      </c>
      <c r="J37" s="44"/>
      <c r="K37" s="43"/>
      <c r="L37" s="43"/>
      <c r="M37" s="52"/>
      <c r="N37" s="3"/>
      <c r="O37" s="40">
        <f t="shared" si="2"/>
        <v>0</v>
      </c>
      <c r="Q37" s="2">
        <v>3</v>
      </c>
      <c r="R37" s="1">
        <v>7</v>
      </c>
      <c r="S37" s="1"/>
      <c r="T37" s="1"/>
      <c r="U37" s="25"/>
      <c r="V37" s="3"/>
      <c r="W37" s="6">
        <f t="shared" si="3"/>
        <v>7</v>
      </c>
      <c r="Y37" s="2"/>
      <c r="Z37" s="1"/>
      <c r="AA37" s="1"/>
      <c r="AB37" s="1"/>
      <c r="AC37" s="25"/>
      <c r="AD37" s="3"/>
      <c r="AE37" s="6">
        <f t="shared" si="4"/>
        <v>0</v>
      </c>
      <c r="AG37" s="2"/>
      <c r="AH37" s="27"/>
      <c r="AI37" s="1"/>
      <c r="AJ37" s="1"/>
      <c r="AK37" s="25"/>
      <c r="AL37" s="25"/>
      <c r="AM37" s="3"/>
      <c r="AN37" s="40">
        <f t="shared" si="5"/>
        <v>0</v>
      </c>
    </row>
    <row r="38" spans="1:40" ht="21.75" customHeight="1" x14ac:dyDescent="0.25">
      <c r="A38" s="7" t="s">
        <v>28</v>
      </c>
      <c r="B38" s="33">
        <v>8651</v>
      </c>
      <c r="C38" s="7">
        <v>5854</v>
      </c>
      <c r="D38" s="7">
        <v>5866</v>
      </c>
      <c r="E38" s="17">
        <f t="shared" si="0"/>
        <v>12</v>
      </c>
      <c r="F38" s="7">
        <v>75498</v>
      </c>
      <c r="G38" s="7">
        <v>75645</v>
      </c>
      <c r="H38" s="17">
        <f t="shared" si="1"/>
        <v>147</v>
      </c>
      <c r="I38" s="37">
        <f t="shared" si="6"/>
        <v>12</v>
      </c>
      <c r="J38" s="2"/>
      <c r="K38" s="1"/>
      <c r="L38" s="1"/>
      <c r="M38" s="25"/>
      <c r="N38" s="3"/>
      <c r="O38" s="40">
        <f t="shared" si="2"/>
        <v>0</v>
      </c>
      <c r="Q38" s="2">
        <v>1</v>
      </c>
      <c r="R38" s="1">
        <v>3</v>
      </c>
      <c r="S38" s="1"/>
      <c r="T38" s="1"/>
      <c r="U38" s="25"/>
      <c r="V38" s="3"/>
      <c r="W38" s="6">
        <f t="shared" si="3"/>
        <v>3</v>
      </c>
      <c r="Y38" s="2">
        <v>7</v>
      </c>
      <c r="Z38" s="1"/>
      <c r="AA38" s="1"/>
      <c r="AB38" s="1"/>
      <c r="AC38" s="25"/>
      <c r="AD38" s="3"/>
      <c r="AE38" s="6">
        <f t="shared" si="4"/>
        <v>0</v>
      </c>
      <c r="AG38" s="2">
        <v>1</v>
      </c>
      <c r="AH38" s="27"/>
      <c r="AI38" s="1"/>
      <c r="AJ38" s="1"/>
      <c r="AK38" s="25"/>
      <c r="AL38" s="25"/>
      <c r="AM38" s="3"/>
      <c r="AN38" s="40">
        <f t="shared" si="5"/>
        <v>0</v>
      </c>
    </row>
    <row r="39" spans="1:40" s="23" customFormat="1" ht="21.75" customHeight="1" thickBot="1" x14ac:dyDescent="0.3">
      <c r="A39" s="8" t="s">
        <v>29</v>
      </c>
      <c r="B39" s="48">
        <v>8652</v>
      </c>
      <c r="C39" s="49">
        <v>5435</v>
      </c>
      <c r="D39" s="49">
        <v>5447</v>
      </c>
      <c r="E39" s="17">
        <f t="shared" si="0"/>
        <v>12</v>
      </c>
      <c r="F39" s="49">
        <v>69302</v>
      </c>
      <c r="G39" s="49">
        <v>69439</v>
      </c>
      <c r="H39" s="50">
        <f t="shared" si="1"/>
        <v>137</v>
      </c>
      <c r="I39" s="37">
        <f t="shared" si="6"/>
        <v>12</v>
      </c>
      <c r="J39" s="20"/>
      <c r="K39" s="21"/>
      <c r="L39" s="21"/>
      <c r="M39" s="26"/>
      <c r="N39" s="22"/>
      <c r="O39" s="41">
        <f t="shared" si="2"/>
        <v>0</v>
      </c>
      <c r="Q39" s="20"/>
      <c r="R39" s="21"/>
      <c r="S39" s="21"/>
      <c r="T39" s="21"/>
      <c r="U39" s="26"/>
      <c r="V39" s="22"/>
      <c r="W39" s="6">
        <f t="shared" si="3"/>
        <v>0</v>
      </c>
      <c r="Y39" s="20"/>
      <c r="Z39" s="21"/>
      <c r="AA39" s="21"/>
      <c r="AB39" s="21"/>
      <c r="AC39" s="26"/>
      <c r="AD39" s="22"/>
      <c r="AE39" s="6">
        <f t="shared" si="4"/>
        <v>0</v>
      </c>
      <c r="AG39" s="20">
        <v>12</v>
      </c>
      <c r="AH39" s="28"/>
      <c r="AI39" s="21"/>
      <c r="AJ39" s="21"/>
      <c r="AK39" s="26"/>
      <c r="AL39" s="26"/>
      <c r="AM39" s="22"/>
      <c r="AN39" s="40">
        <f t="shared" si="5"/>
        <v>0</v>
      </c>
    </row>
    <row r="40" spans="1:40" ht="24.75" customHeight="1" x14ac:dyDescent="0.25">
      <c r="I40" s="45">
        <f t="shared" ref="I40:N40" si="7">SUM(I4:I39)</f>
        <v>295</v>
      </c>
      <c r="J40" s="29">
        <f t="shared" si="7"/>
        <v>72</v>
      </c>
      <c r="K40" s="29">
        <f t="shared" si="7"/>
        <v>12</v>
      </c>
      <c r="L40" s="29">
        <f t="shared" si="7"/>
        <v>5</v>
      </c>
      <c r="M40" s="29">
        <f t="shared" si="7"/>
        <v>0</v>
      </c>
      <c r="N40" s="29">
        <f t="shared" si="7"/>
        <v>0</v>
      </c>
      <c r="O40" s="30"/>
      <c r="P40" s="29"/>
      <c r="Q40" s="31">
        <f t="shared" ref="Q40:V40" si="8">SUM(Q4:Q39)</f>
        <v>8</v>
      </c>
      <c r="R40" s="31">
        <f t="shared" si="8"/>
        <v>57</v>
      </c>
      <c r="S40" s="31">
        <f t="shared" si="8"/>
        <v>0</v>
      </c>
      <c r="T40" s="31">
        <f t="shared" si="8"/>
        <v>0</v>
      </c>
      <c r="U40" s="31">
        <f t="shared" si="8"/>
        <v>0</v>
      </c>
      <c r="V40" s="31">
        <f t="shared" si="8"/>
        <v>0</v>
      </c>
      <c r="W40" s="30"/>
      <c r="X40" s="29"/>
      <c r="Y40" s="31">
        <f t="shared" ref="Y40:AD40" si="9">SUM(Y4:Y39)</f>
        <v>69</v>
      </c>
      <c r="Z40" s="31">
        <f t="shared" si="9"/>
        <v>0</v>
      </c>
      <c r="AA40" s="31">
        <f t="shared" si="9"/>
        <v>0</v>
      </c>
      <c r="AB40" s="31">
        <f t="shared" si="9"/>
        <v>0</v>
      </c>
      <c r="AC40" s="31">
        <f t="shared" si="9"/>
        <v>0</v>
      </c>
      <c r="AD40" s="31">
        <f t="shared" si="9"/>
        <v>0</v>
      </c>
      <c r="AE40" s="30"/>
      <c r="AF40" s="29"/>
      <c r="AG40" s="31">
        <f>SUM(AG4:AG39)</f>
        <v>72</v>
      </c>
      <c r="AH40" s="31">
        <f t="shared" ref="AH40:AM40" si="10">SUM(AH4:AH39)</f>
        <v>0</v>
      </c>
      <c r="AI40" s="31">
        <f t="shared" si="10"/>
        <v>0</v>
      </c>
      <c r="AJ40" s="31">
        <f t="shared" si="10"/>
        <v>0</v>
      </c>
      <c r="AK40" s="31">
        <f t="shared" si="10"/>
        <v>0</v>
      </c>
      <c r="AL40" s="31">
        <f>SUM(AL4:AL39)</f>
        <v>0</v>
      </c>
      <c r="AM40" s="31">
        <f t="shared" si="10"/>
        <v>0</v>
      </c>
      <c r="AN40" s="19"/>
    </row>
    <row r="41" spans="1:40" ht="24.75" customHeight="1" x14ac:dyDescent="0.25">
      <c r="I41" s="46"/>
      <c r="J41" s="9">
        <f>SUM(J4:J23)*25</f>
        <v>1175</v>
      </c>
      <c r="K41" s="7">
        <f t="shared" ref="K41:AN41" si="11">SUM(K4:K23)*25</f>
        <v>150</v>
      </c>
      <c r="L41" s="7">
        <f>SUM(L4:L23)*25</f>
        <v>50</v>
      </c>
      <c r="M41" s="7">
        <f>SUM(M4:M23)*25</f>
        <v>0</v>
      </c>
      <c r="N41" s="7">
        <f>SUM(N4:N23)*25</f>
        <v>0</v>
      </c>
      <c r="O41" s="11">
        <f t="shared" si="11"/>
        <v>200</v>
      </c>
      <c r="P41" s="9">
        <f t="shared" si="11"/>
        <v>0</v>
      </c>
      <c r="Q41" s="7">
        <f t="shared" si="11"/>
        <v>75</v>
      </c>
      <c r="R41" s="7">
        <f t="shared" si="11"/>
        <v>475</v>
      </c>
      <c r="S41" s="7">
        <f t="shared" si="11"/>
        <v>0</v>
      </c>
      <c r="T41" s="7">
        <f t="shared" si="11"/>
        <v>0</v>
      </c>
      <c r="U41" s="7">
        <f>SUM(U4:U23)*25</f>
        <v>0</v>
      </c>
      <c r="V41" s="10">
        <f t="shared" si="11"/>
        <v>0</v>
      </c>
      <c r="W41" s="11">
        <f t="shared" si="11"/>
        <v>475</v>
      </c>
      <c r="X41" s="9">
        <f t="shared" si="11"/>
        <v>0</v>
      </c>
      <c r="Y41" s="7">
        <f t="shared" ref="Y41:AE41" si="12">SUM(Y4:Y23)*25</f>
        <v>1000</v>
      </c>
      <c r="Z41" s="7">
        <f t="shared" si="12"/>
        <v>0</v>
      </c>
      <c r="AA41" s="7">
        <f t="shared" si="12"/>
        <v>0</v>
      </c>
      <c r="AB41" s="7">
        <f t="shared" si="12"/>
        <v>0</v>
      </c>
      <c r="AC41" s="7">
        <f t="shared" si="12"/>
        <v>0</v>
      </c>
      <c r="AD41" s="10">
        <f t="shared" si="12"/>
        <v>0</v>
      </c>
      <c r="AE41" s="11">
        <f t="shared" si="12"/>
        <v>0</v>
      </c>
      <c r="AF41" s="9"/>
      <c r="AG41" s="7">
        <f t="shared" si="11"/>
        <v>450</v>
      </c>
      <c r="AH41" s="7">
        <f t="shared" si="11"/>
        <v>0</v>
      </c>
      <c r="AI41" s="7">
        <f t="shared" si="11"/>
        <v>0</v>
      </c>
      <c r="AJ41" s="7">
        <f t="shared" si="11"/>
        <v>0</v>
      </c>
      <c r="AK41" s="7">
        <f t="shared" si="11"/>
        <v>0</v>
      </c>
      <c r="AL41" s="7">
        <f>SUM(AL4:AL23)*25</f>
        <v>0</v>
      </c>
      <c r="AM41" s="7">
        <f t="shared" si="11"/>
        <v>0</v>
      </c>
      <c r="AN41" s="11">
        <f t="shared" si="11"/>
        <v>0</v>
      </c>
    </row>
    <row r="42" spans="1:40" ht="24.75" customHeight="1" thickBot="1" x14ac:dyDescent="0.3">
      <c r="I42" s="47"/>
      <c r="J42" s="14">
        <f>SUM(J24:J39)*20</f>
        <v>500</v>
      </c>
      <c r="K42" s="8">
        <f t="shared" ref="K42:AM42" si="13">SUM(K24:K39)*20</f>
        <v>120</v>
      </c>
      <c r="L42" s="8">
        <f t="shared" si="13"/>
        <v>60</v>
      </c>
      <c r="M42" s="8">
        <f>SUM(M24:M39)*20</f>
        <v>0</v>
      </c>
      <c r="N42" s="8">
        <f>SUM(N24:N39)*20</f>
        <v>0</v>
      </c>
      <c r="O42" s="13">
        <f t="shared" si="13"/>
        <v>180</v>
      </c>
      <c r="P42" s="14">
        <f t="shared" si="13"/>
        <v>0</v>
      </c>
      <c r="Q42" s="8">
        <f>SUM(Q24:Q39)*20</f>
        <v>100</v>
      </c>
      <c r="R42" s="8">
        <f t="shared" si="13"/>
        <v>760</v>
      </c>
      <c r="S42" s="8">
        <f t="shared" si="13"/>
        <v>0</v>
      </c>
      <c r="T42" s="8">
        <f t="shared" si="13"/>
        <v>0</v>
      </c>
      <c r="U42" s="8">
        <f>SUM(U24:U39)*20</f>
        <v>0</v>
      </c>
      <c r="V42" s="12">
        <f t="shared" si="13"/>
        <v>0</v>
      </c>
      <c r="W42" s="13">
        <f>SUM(W24:W39)*20</f>
        <v>760</v>
      </c>
      <c r="X42" s="14">
        <f t="shared" si="13"/>
        <v>0</v>
      </c>
      <c r="Y42" s="8">
        <f t="shared" ref="Y42:AE42" si="14">SUM(Y24:Y39)*20</f>
        <v>580</v>
      </c>
      <c r="Z42" s="8">
        <f t="shared" si="14"/>
        <v>0</v>
      </c>
      <c r="AA42" s="8">
        <f t="shared" si="14"/>
        <v>0</v>
      </c>
      <c r="AB42" s="8">
        <f t="shared" si="14"/>
        <v>0</v>
      </c>
      <c r="AC42" s="8">
        <f t="shared" si="14"/>
        <v>0</v>
      </c>
      <c r="AD42" s="12">
        <f t="shared" si="14"/>
        <v>0</v>
      </c>
      <c r="AE42" s="13">
        <f t="shared" si="14"/>
        <v>0</v>
      </c>
      <c r="AF42" s="14"/>
      <c r="AG42" s="8">
        <f t="shared" si="13"/>
        <v>1080</v>
      </c>
      <c r="AH42" s="8">
        <f t="shared" si="13"/>
        <v>0</v>
      </c>
      <c r="AI42" s="8">
        <f t="shared" si="13"/>
        <v>0</v>
      </c>
      <c r="AJ42" s="8">
        <f t="shared" si="13"/>
        <v>0</v>
      </c>
      <c r="AK42" s="8">
        <f t="shared" si="13"/>
        <v>0</v>
      </c>
      <c r="AL42" s="8">
        <f>SUM(AL24:AL39)*20</f>
        <v>0</v>
      </c>
      <c r="AM42" s="12">
        <f t="shared" si="13"/>
        <v>0</v>
      </c>
      <c r="AN42" s="13">
        <f>SUM(AN24:AN39)*20</f>
        <v>0</v>
      </c>
    </row>
    <row r="43" spans="1:40" ht="24.75" customHeight="1" thickBot="1" x14ac:dyDescent="0.3">
      <c r="I43" s="130" t="s">
        <v>35</v>
      </c>
      <c r="J43" s="131"/>
      <c r="K43" s="132">
        <f>SUM(J41:M42)</f>
        <v>2055</v>
      </c>
      <c r="L43" s="133"/>
      <c r="M43" s="133"/>
      <c r="N43" s="134"/>
      <c r="O43" s="15"/>
      <c r="P43" s="16"/>
      <c r="Q43" s="132">
        <f>SUM(Q41:V42)</f>
        <v>1410</v>
      </c>
      <c r="R43" s="133"/>
      <c r="S43" s="133"/>
      <c r="T43" s="133"/>
      <c r="U43" s="133"/>
      <c r="V43" s="134"/>
      <c r="W43" s="15"/>
      <c r="X43" s="16"/>
      <c r="Y43" s="132">
        <f>SUM(Y41:AD42)</f>
        <v>1580</v>
      </c>
      <c r="Z43" s="133"/>
      <c r="AA43" s="133"/>
      <c r="AB43" s="133"/>
      <c r="AC43" s="133"/>
      <c r="AD43" s="134"/>
      <c r="AE43" s="15"/>
      <c r="AF43" s="54"/>
      <c r="AG43" s="132">
        <f>SUM(AG41:AM42)</f>
        <v>1530</v>
      </c>
      <c r="AH43" s="133"/>
      <c r="AI43" s="133"/>
      <c r="AJ43" s="133"/>
      <c r="AK43" s="133"/>
      <c r="AL43" s="133"/>
      <c r="AM43" s="134"/>
      <c r="AN43" s="18">
        <f>SUM(K43:AM43)</f>
        <v>6575</v>
      </c>
    </row>
    <row r="44" spans="1:40" ht="24.75" customHeight="1" x14ac:dyDescent="0.25"/>
  </sheetData>
  <autoFilter ref="A3:AN43" xr:uid="{D0C22422-46A8-4C40-80E6-0F879FB26D6B}"/>
  <mergeCells count="9">
    <mergeCell ref="J2:N2"/>
    <mergeCell ref="Q2:V2"/>
    <mergeCell ref="AG2:AM2"/>
    <mergeCell ref="I43:J43"/>
    <mergeCell ref="K43:N43"/>
    <mergeCell ref="Q43:V43"/>
    <mergeCell ref="AG43:AM43"/>
    <mergeCell ref="Y2:AD2"/>
    <mergeCell ref="Y43:AD43"/>
  </mergeCells>
  <phoneticPr fontId="1" type="noConversion"/>
  <conditionalFormatting sqref="J4:N39 Q4:V39 AG4:AM39">
    <cfRule type="expression" dxfId="15" priority="2">
      <formula>MOD(ROW(),2)</formula>
    </cfRule>
  </conditionalFormatting>
  <conditionalFormatting sqref="Y4:AD39">
    <cfRule type="expression" dxfId="14" priority="1">
      <formula>MOD(ROW(),2)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8A69-A5A3-4B14-B517-85707F6BC05C}">
  <dimension ref="A1:AO44"/>
  <sheetViews>
    <sheetView showGridLines="0" topLeftCell="B1" zoomScale="60" zoomScaleNormal="60" workbookViewId="0">
      <pane xSplit="8" topLeftCell="J1" activePane="topRight" state="frozen"/>
      <selection activeCell="B1" sqref="B1"/>
      <selection pane="topRight" activeCell="AI3" sqref="AI3"/>
    </sheetView>
  </sheetViews>
  <sheetFormatPr defaultRowHeight="15" x14ac:dyDescent="0.25"/>
  <cols>
    <col min="1" max="1" width="37.85546875" hidden="1" customWidth="1"/>
    <col min="2" max="2" width="8.42578125" bestFit="1" customWidth="1"/>
    <col min="3" max="3" width="8.140625" bestFit="1" customWidth="1"/>
    <col min="4" max="4" width="11.140625" bestFit="1" customWidth="1"/>
    <col min="5" max="5" width="8.5703125" bestFit="1" customWidth="1"/>
    <col min="6" max="6" width="13.7109375" bestFit="1" customWidth="1"/>
    <col min="7" max="8" width="9.42578125" bestFit="1" customWidth="1"/>
    <col min="9" max="9" width="6.85546875" style="32" customWidth="1"/>
    <col min="10" max="10" width="13" customWidth="1"/>
    <col min="11" max="23" width="9.42578125" customWidth="1"/>
    <col min="24" max="24" width="6.28515625" bestFit="1" customWidth="1"/>
    <col min="25" max="25" width="8.7109375" customWidth="1"/>
    <col min="26" max="31" width="11.42578125" customWidth="1"/>
    <col min="32" max="32" width="7.5703125" customWidth="1"/>
    <col min="33" max="33" width="7.7109375" customWidth="1"/>
    <col min="34" max="41" width="9.42578125" customWidth="1"/>
  </cols>
  <sheetData>
    <row r="1" spans="1:41" ht="15.75" thickBot="1" x14ac:dyDescent="0.3"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1" ht="15.75" thickBot="1" x14ac:dyDescent="0.3">
      <c r="B2" s="32"/>
      <c r="J2" s="135" t="s">
        <v>37</v>
      </c>
      <c r="K2" s="136"/>
      <c r="L2" s="136"/>
      <c r="M2" s="137"/>
      <c r="N2" s="137"/>
      <c r="O2" s="138"/>
      <c r="P2" s="32"/>
      <c r="Q2" s="32"/>
      <c r="R2" s="135" t="s">
        <v>38</v>
      </c>
      <c r="S2" s="136"/>
      <c r="T2" s="136"/>
      <c r="U2" s="136"/>
      <c r="V2" s="137"/>
      <c r="W2" s="138"/>
      <c r="X2" s="32"/>
      <c r="Y2" s="32"/>
      <c r="Z2" s="139" t="s">
        <v>43</v>
      </c>
      <c r="AA2" s="140"/>
      <c r="AB2" s="140"/>
      <c r="AC2" s="140"/>
      <c r="AD2" s="141"/>
      <c r="AE2" s="142"/>
      <c r="AF2" s="32"/>
      <c r="AG2" s="32"/>
      <c r="AH2" s="135" t="s">
        <v>39</v>
      </c>
      <c r="AI2" s="143"/>
      <c r="AJ2" s="136"/>
      <c r="AK2" s="136"/>
      <c r="AL2" s="137"/>
      <c r="AM2" s="137"/>
      <c r="AN2" s="138"/>
    </row>
    <row r="3" spans="1:41" ht="51" customHeight="1" x14ac:dyDescent="0.3">
      <c r="B3" s="32"/>
      <c r="J3" s="105" t="s">
        <v>36</v>
      </c>
      <c r="K3" s="102"/>
      <c r="L3" s="102"/>
      <c r="M3" s="103"/>
      <c r="N3" s="103"/>
      <c r="O3" s="104" t="s">
        <v>45</v>
      </c>
      <c r="P3" s="55"/>
      <c r="Q3" s="55"/>
      <c r="R3" s="101" t="s">
        <v>36</v>
      </c>
      <c r="S3" s="102">
        <v>7</v>
      </c>
      <c r="T3" s="102">
        <v>19.100000000000001</v>
      </c>
      <c r="U3" s="102">
        <v>62.1</v>
      </c>
      <c r="V3" s="106">
        <v>4</v>
      </c>
      <c r="W3" s="107"/>
      <c r="X3" s="55"/>
      <c r="Y3" s="55"/>
      <c r="Z3" s="97" t="s">
        <v>44</v>
      </c>
      <c r="AA3" s="98">
        <v>56.1</v>
      </c>
      <c r="AB3" s="98"/>
      <c r="AC3" s="98"/>
      <c r="AD3" s="99"/>
      <c r="AE3" s="100"/>
      <c r="AF3" s="55"/>
      <c r="AG3" s="55"/>
      <c r="AH3" s="101" t="s">
        <v>36</v>
      </c>
      <c r="AI3" s="102">
        <v>19.100000000000001</v>
      </c>
      <c r="AJ3" s="103">
        <v>4</v>
      </c>
      <c r="AK3" s="102">
        <v>6.1</v>
      </c>
      <c r="AL3" s="103"/>
      <c r="AM3" s="103"/>
      <c r="AN3" s="104"/>
    </row>
    <row r="4" spans="1:41" ht="21.75" customHeight="1" x14ac:dyDescent="0.25">
      <c r="A4" s="7" t="s">
        <v>30</v>
      </c>
      <c r="B4" s="33">
        <v>8601</v>
      </c>
      <c r="C4" s="7">
        <v>7863</v>
      </c>
      <c r="D4" s="7">
        <v>7872</v>
      </c>
      <c r="E4" s="17">
        <f>D4-C4</f>
        <v>9</v>
      </c>
      <c r="F4" s="7">
        <v>115953</v>
      </c>
      <c r="G4" s="7">
        <v>116138</v>
      </c>
      <c r="H4" s="17">
        <f t="shared" ref="H4:H39" si="0">+G4-F4</f>
        <v>185</v>
      </c>
      <c r="I4" s="37">
        <f t="shared" ref="I4:I39" si="1">SUM(J4:O4,R4:W4,AH4:AN4,Z4:AE4)</f>
        <v>11</v>
      </c>
      <c r="J4" s="56">
        <v>11</v>
      </c>
      <c r="K4" s="57"/>
      <c r="L4" s="57"/>
      <c r="M4" s="58"/>
      <c r="N4" s="58"/>
      <c r="O4" s="59"/>
      <c r="P4" s="60">
        <f t="shared" ref="P4:P39" si="2">SUM(K4:N4)</f>
        <v>0</v>
      </c>
      <c r="Q4" s="87"/>
      <c r="R4" s="62"/>
      <c r="S4" s="68"/>
      <c r="T4" s="68"/>
      <c r="U4" s="68"/>
      <c r="V4" s="69"/>
      <c r="W4" s="76"/>
      <c r="X4" s="61">
        <f>SUM(S4:W4)</f>
        <v>0</v>
      </c>
      <c r="Y4" s="87"/>
      <c r="Z4" s="56"/>
      <c r="AA4" s="57"/>
      <c r="AB4" s="57"/>
      <c r="AC4" s="57"/>
      <c r="AD4" s="58"/>
      <c r="AE4" s="59"/>
      <c r="AF4" s="61">
        <f>SUM(AA4:AE4)</f>
        <v>0</v>
      </c>
      <c r="AG4" s="87"/>
      <c r="AH4" s="56"/>
      <c r="AI4" s="57"/>
      <c r="AJ4" s="58"/>
      <c r="AK4" s="57"/>
      <c r="AL4" s="58"/>
      <c r="AM4" s="58"/>
      <c r="AN4" s="59"/>
      <c r="AO4" s="40">
        <f>SUM(AI4:AN4)</f>
        <v>0</v>
      </c>
    </row>
    <row r="5" spans="1:41" ht="21.75" customHeight="1" x14ac:dyDescent="0.25">
      <c r="A5" s="7" t="s">
        <v>31</v>
      </c>
      <c r="B5" s="33">
        <v>8602</v>
      </c>
      <c r="C5" s="7">
        <v>5866</v>
      </c>
      <c r="D5" s="7">
        <v>5877</v>
      </c>
      <c r="E5" s="17">
        <f t="shared" ref="E5:E39" si="3">D5-C5</f>
        <v>11</v>
      </c>
      <c r="F5" s="7">
        <v>67148</v>
      </c>
      <c r="G5" s="7">
        <f>+F5+150</f>
        <v>67298</v>
      </c>
      <c r="H5" s="17">
        <f t="shared" si="0"/>
        <v>150</v>
      </c>
      <c r="I5" s="37">
        <f t="shared" si="1"/>
        <v>10</v>
      </c>
      <c r="J5" s="56"/>
      <c r="K5" s="57"/>
      <c r="L5" s="57"/>
      <c r="M5" s="58"/>
      <c r="N5" s="58"/>
      <c r="O5" s="59"/>
      <c r="P5" s="60">
        <f t="shared" si="2"/>
        <v>0</v>
      </c>
      <c r="Q5" s="87"/>
      <c r="R5" s="62">
        <v>2</v>
      </c>
      <c r="S5" s="68">
        <v>2</v>
      </c>
      <c r="T5" s="68">
        <v>2</v>
      </c>
      <c r="U5" s="68">
        <v>4</v>
      </c>
      <c r="V5" s="69"/>
      <c r="W5" s="76"/>
      <c r="X5" s="61">
        <f t="shared" ref="X5:X39" si="4">SUM(S5:W5)</f>
        <v>8</v>
      </c>
      <c r="Y5" s="87"/>
      <c r="Z5" s="56"/>
      <c r="AA5" s="57"/>
      <c r="AB5" s="57"/>
      <c r="AC5" s="57"/>
      <c r="AD5" s="58"/>
      <c r="AE5" s="59"/>
      <c r="AF5" s="61">
        <f t="shared" ref="AF5:AF39" si="5">SUM(AA5:AE5)</f>
        <v>0</v>
      </c>
      <c r="AG5" s="87"/>
      <c r="AH5" s="56"/>
      <c r="AI5" s="57"/>
      <c r="AJ5" s="58"/>
      <c r="AK5" s="57"/>
      <c r="AL5" s="58"/>
      <c r="AM5" s="58"/>
      <c r="AN5" s="59"/>
      <c r="AO5" s="40">
        <f t="shared" ref="AO5:AO39" si="6">SUM(AI5:AN5)</f>
        <v>0</v>
      </c>
    </row>
    <row r="6" spans="1:41" ht="21.75" customHeight="1" x14ac:dyDescent="0.25">
      <c r="A6" s="7" t="s">
        <v>32</v>
      </c>
      <c r="B6" s="33">
        <v>8603</v>
      </c>
      <c r="C6" s="7"/>
      <c r="D6" s="7"/>
      <c r="E6" s="17">
        <f t="shared" si="3"/>
        <v>0</v>
      </c>
      <c r="F6" s="7"/>
      <c r="G6" s="7"/>
      <c r="H6" s="17">
        <f t="shared" si="0"/>
        <v>0</v>
      </c>
      <c r="I6" s="37">
        <f t="shared" si="1"/>
        <v>0</v>
      </c>
      <c r="J6" s="56"/>
      <c r="K6" s="57"/>
      <c r="L6" s="57"/>
      <c r="M6" s="58"/>
      <c r="N6" s="58"/>
      <c r="O6" s="59"/>
      <c r="P6" s="60">
        <f t="shared" si="2"/>
        <v>0</v>
      </c>
      <c r="Q6" s="87"/>
      <c r="R6" s="62"/>
      <c r="S6" s="68"/>
      <c r="T6" s="68"/>
      <c r="U6" s="68"/>
      <c r="V6" s="69"/>
      <c r="W6" s="76"/>
      <c r="X6" s="61">
        <f t="shared" si="4"/>
        <v>0</v>
      </c>
      <c r="Y6" s="87"/>
      <c r="Z6" s="56"/>
      <c r="AA6" s="57"/>
      <c r="AB6" s="57"/>
      <c r="AC6" s="57"/>
      <c r="AD6" s="58"/>
      <c r="AE6" s="59"/>
      <c r="AF6" s="61">
        <f t="shared" si="5"/>
        <v>0</v>
      </c>
      <c r="AG6" s="87"/>
      <c r="AH6" s="56"/>
      <c r="AI6" s="57"/>
      <c r="AJ6" s="58"/>
      <c r="AK6" s="57"/>
      <c r="AL6" s="58"/>
      <c r="AM6" s="58"/>
      <c r="AN6" s="59"/>
      <c r="AO6" s="40">
        <f t="shared" si="6"/>
        <v>0</v>
      </c>
    </row>
    <row r="7" spans="1:41" ht="21.75" customHeight="1" x14ac:dyDescent="0.25">
      <c r="A7" s="7" t="s">
        <v>0</v>
      </c>
      <c r="B7" s="33">
        <v>8604</v>
      </c>
      <c r="C7" s="7">
        <v>9053</v>
      </c>
      <c r="D7" s="7">
        <v>9064</v>
      </c>
      <c r="E7" s="17">
        <f t="shared" si="3"/>
        <v>11</v>
      </c>
      <c r="F7" s="7">
        <v>93834</v>
      </c>
      <c r="G7" s="7">
        <v>93987</v>
      </c>
      <c r="H7" s="17">
        <f t="shared" si="0"/>
        <v>153</v>
      </c>
      <c r="I7" s="37">
        <f t="shared" si="1"/>
        <v>9</v>
      </c>
      <c r="J7" s="56">
        <v>9</v>
      </c>
      <c r="K7" s="57"/>
      <c r="L7" s="57"/>
      <c r="M7" s="58"/>
      <c r="N7" s="58"/>
      <c r="O7" s="59"/>
      <c r="P7" s="60">
        <f t="shared" si="2"/>
        <v>0</v>
      </c>
      <c r="Q7" s="87"/>
      <c r="R7" s="62"/>
      <c r="S7" s="68"/>
      <c r="T7" s="68"/>
      <c r="U7" s="68"/>
      <c r="V7" s="69"/>
      <c r="W7" s="76"/>
      <c r="X7" s="61">
        <f t="shared" si="4"/>
        <v>0</v>
      </c>
      <c r="Y7" s="87"/>
      <c r="Z7" s="56"/>
      <c r="AA7" s="57"/>
      <c r="AB7" s="57"/>
      <c r="AC7" s="57"/>
      <c r="AD7" s="58"/>
      <c r="AE7" s="59"/>
      <c r="AF7" s="61">
        <f t="shared" si="5"/>
        <v>0</v>
      </c>
      <c r="AG7" s="87"/>
      <c r="AH7" s="56"/>
      <c r="AI7" s="57"/>
      <c r="AJ7" s="58"/>
      <c r="AK7" s="57"/>
      <c r="AL7" s="58"/>
      <c r="AM7" s="58"/>
      <c r="AN7" s="59"/>
      <c r="AO7" s="40">
        <f t="shared" si="6"/>
        <v>0</v>
      </c>
    </row>
    <row r="8" spans="1:41" ht="21.75" customHeight="1" x14ac:dyDescent="0.25">
      <c r="A8" s="7" t="s">
        <v>1</v>
      </c>
      <c r="B8" s="33">
        <v>8605</v>
      </c>
      <c r="C8" s="7"/>
      <c r="D8" s="7"/>
      <c r="E8" s="17">
        <f t="shared" si="3"/>
        <v>0</v>
      </c>
      <c r="F8" s="7"/>
      <c r="G8" s="7"/>
      <c r="H8" s="17">
        <f t="shared" si="0"/>
        <v>0</v>
      </c>
      <c r="I8" s="37">
        <f t="shared" si="1"/>
        <v>0</v>
      </c>
      <c r="J8" s="56"/>
      <c r="K8" s="57"/>
      <c r="L8" s="57"/>
      <c r="M8" s="58"/>
      <c r="N8" s="58"/>
      <c r="O8" s="59"/>
      <c r="P8" s="60">
        <f t="shared" si="2"/>
        <v>0</v>
      </c>
      <c r="Q8" s="87"/>
      <c r="R8" s="62"/>
      <c r="S8" s="68"/>
      <c r="T8" s="68"/>
      <c r="U8" s="68"/>
      <c r="V8" s="69"/>
      <c r="W8" s="76"/>
      <c r="X8" s="61">
        <f t="shared" si="4"/>
        <v>0</v>
      </c>
      <c r="Y8" s="87"/>
      <c r="Z8" s="56"/>
      <c r="AA8" s="57"/>
      <c r="AB8" s="57"/>
      <c r="AC8" s="57"/>
      <c r="AD8" s="58"/>
      <c r="AE8" s="59"/>
      <c r="AF8" s="61">
        <f t="shared" si="5"/>
        <v>0</v>
      </c>
      <c r="AG8" s="87"/>
      <c r="AH8" s="56"/>
      <c r="AI8" s="57"/>
      <c r="AJ8" s="58"/>
      <c r="AK8" s="57"/>
      <c r="AL8" s="58"/>
      <c r="AM8" s="58"/>
      <c r="AN8" s="59"/>
      <c r="AO8" s="40">
        <f t="shared" si="6"/>
        <v>0</v>
      </c>
    </row>
    <row r="9" spans="1:41" ht="21.75" customHeight="1" x14ac:dyDescent="0.25">
      <c r="A9" s="7" t="s">
        <v>2</v>
      </c>
      <c r="B9" s="33">
        <v>8606</v>
      </c>
      <c r="C9" s="7">
        <v>10148</v>
      </c>
      <c r="D9" s="7">
        <v>10159</v>
      </c>
      <c r="E9" s="17">
        <f t="shared" si="3"/>
        <v>11</v>
      </c>
      <c r="F9" s="7">
        <v>125737</v>
      </c>
      <c r="G9" s="7">
        <f>+F9+150</f>
        <v>125887</v>
      </c>
      <c r="H9" s="17">
        <f t="shared" si="0"/>
        <v>150</v>
      </c>
      <c r="I9" s="37">
        <f t="shared" si="1"/>
        <v>10</v>
      </c>
      <c r="J9" s="56"/>
      <c r="K9" s="57"/>
      <c r="L9" s="57"/>
      <c r="M9" s="58"/>
      <c r="N9" s="58"/>
      <c r="O9" s="59"/>
      <c r="P9" s="60">
        <f t="shared" si="2"/>
        <v>0</v>
      </c>
      <c r="Q9" s="87"/>
      <c r="R9" s="62">
        <v>2</v>
      </c>
      <c r="S9" s="68">
        <v>1</v>
      </c>
      <c r="T9" s="68"/>
      <c r="U9" s="68">
        <v>4</v>
      </c>
      <c r="V9" s="69">
        <v>3</v>
      </c>
      <c r="W9" s="76"/>
      <c r="X9" s="61">
        <f t="shared" si="4"/>
        <v>8</v>
      </c>
      <c r="Y9" s="87"/>
      <c r="Z9" s="56"/>
      <c r="AA9" s="57"/>
      <c r="AB9" s="57"/>
      <c r="AC9" s="57"/>
      <c r="AD9" s="58"/>
      <c r="AE9" s="59"/>
      <c r="AF9" s="61">
        <f t="shared" si="5"/>
        <v>0</v>
      </c>
      <c r="AG9" s="87"/>
      <c r="AH9" s="56"/>
      <c r="AI9" s="57"/>
      <c r="AJ9" s="58"/>
      <c r="AK9" s="57"/>
      <c r="AL9" s="58"/>
      <c r="AM9" s="58"/>
      <c r="AN9" s="59"/>
      <c r="AO9" s="40">
        <f t="shared" si="6"/>
        <v>0</v>
      </c>
    </row>
    <row r="10" spans="1:41" ht="21.75" customHeight="1" x14ac:dyDescent="0.25">
      <c r="A10" s="7" t="s">
        <v>3</v>
      </c>
      <c r="B10" s="33">
        <v>8607</v>
      </c>
      <c r="C10" s="7">
        <v>8777</v>
      </c>
      <c r="D10" s="7">
        <v>8786</v>
      </c>
      <c r="E10" s="17">
        <f t="shared" si="3"/>
        <v>9</v>
      </c>
      <c r="F10" s="7">
        <v>85025</v>
      </c>
      <c r="G10" s="7">
        <f>+F10+150</f>
        <v>85175</v>
      </c>
      <c r="H10" s="17">
        <f>+G10-F10</f>
        <v>150</v>
      </c>
      <c r="I10" s="37">
        <f t="shared" si="1"/>
        <v>9</v>
      </c>
      <c r="J10" s="56">
        <v>9</v>
      </c>
      <c r="K10" s="57"/>
      <c r="L10" s="57"/>
      <c r="M10" s="58"/>
      <c r="N10" s="58"/>
      <c r="O10" s="59"/>
      <c r="P10" s="60">
        <f t="shared" si="2"/>
        <v>0</v>
      </c>
      <c r="Q10" s="87"/>
      <c r="R10" s="62"/>
      <c r="S10" s="68"/>
      <c r="T10" s="68"/>
      <c r="U10" s="68"/>
      <c r="V10" s="69"/>
      <c r="W10" s="76"/>
      <c r="X10" s="61">
        <f t="shared" si="4"/>
        <v>0</v>
      </c>
      <c r="Y10" s="87"/>
      <c r="Z10" s="56"/>
      <c r="AA10" s="57"/>
      <c r="AB10" s="57"/>
      <c r="AC10" s="57"/>
      <c r="AD10" s="58"/>
      <c r="AE10" s="59"/>
      <c r="AF10" s="61">
        <f t="shared" si="5"/>
        <v>0</v>
      </c>
      <c r="AG10" s="87"/>
      <c r="AH10" s="56"/>
      <c r="AI10" s="57"/>
      <c r="AJ10" s="58"/>
      <c r="AK10" s="57"/>
      <c r="AL10" s="58"/>
      <c r="AM10" s="58"/>
      <c r="AN10" s="59"/>
      <c r="AO10" s="40">
        <f t="shared" si="6"/>
        <v>0</v>
      </c>
    </row>
    <row r="11" spans="1:41" ht="21.75" customHeight="1" x14ac:dyDescent="0.25">
      <c r="A11" s="7" t="s">
        <v>4</v>
      </c>
      <c r="B11" s="33">
        <v>8608</v>
      </c>
      <c r="C11" s="7">
        <v>10146</v>
      </c>
      <c r="D11" s="7">
        <v>10155</v>
      </c>
      <c r="E11" s="17">
        <f t="shared" si="3"/>
        <v>9</v>
      </c>
      <c r="F11" s="7">
        <v>132958</v>
      </c>
      <c r="G11" s="7">
        <v>133108</v>
      </c>
      <c r="H11" s="17">
        <f t="shared" si="0"/>
        <v>150</v>
      </c>
      <c r="I11" s="37">
        <f t="shared" si="1"/>
        <v>10</v>
      </c>
      <c r="J11" s="62">
        <v>1</v>
      </c>
      <c r="K11" s="57"/>
      <c r="L11" s="57"/>
      <c r="M11" s="58"/>
      <c r="N11" s="58"/>
      <c r="O11" s="59"/>
      <c r="P11" s="60">
        <f t="shared" si="2"/>
        <v>0</v>
      </c>
      <c r="Q11" s="87"/>
      <c r="R11" s="62">
        <v>2</v>
      </c>
      <c r="S11" s="68">
        <v>1</v>
      </c>
      <c r="T11" s="68"/>
      <c r="U11" s="68">
        <v>4</v>
      </c>
      <c r="V11" s="69">
        <v>2</v>
      </c>
      <c r="W11" s="76"/>
      <c r="X11" s="61">
        <f t="shared" si="4"/>
        <v>7</v>
      </c>
      <c r="Y11" s="87"/>
      <c r="Z11" s="56"/>
      <c r="AA11" s="57"/>
      <c r="AB11" s="57"/>
      <c r="AC11" s="57"/>
      <c r="AD11" s="58"/>
      <c r="AE11" s="59"/>
      <c r="AF11" s="61">
        <f t="shared" si="5"/>
        <v>0</v>
      </c>
      <c r="AG11" s="87"/>
      <c r="AH11" s="56"/>
      <c r="AI11" s="57"/>
      <c r="AJ11" s="58"/>
      <c r="AK11" s="57"/>
      <c r="AL11" s="58"/>
      <c r="AM11" s="58"/>
      <c r="AN11" s="59"/>
      <c r="AO11" s="40">
        <f t="shared" si="6"/>
        <v>0</v>
      </c>
    </row>
    <row r="12" spans="1:41" ht="21.75" customHeight="1" x14ac:dyDescent="0.25">
      <c r="A12" s="7" t="s">
        <v>5</v>
      </c>
      <c r="B12" s="33">
        <v>8609</v>
      </c>
      <c r="C12" s="7">
        <v>10873</v>
      </c>
      <c r="D12" s="7">
        <v>10884</v>
      </c>
      <c r="E12" s="17">
        <f t="shared" si="3"/>
        <v>11</v>
      </c>
      <c r="F12" s="7">
        <v>142506</v>
      </c>
      <c r="G12" s="7">
        <v>142675</v>
      </c>
      <c r="H12" s="17">
        <f t="shared" si="0"/>
        <v>169</v>
      </c>
      <c r="I12" s="37">
        <f t="shared" si="1"/>
        <v>10</v>
      </c>
      <c r="J12" s="56">
        <v>10</v>
      </c>
      <c r="K12" s="57"/>
      <c r="L12" s="57"/>
      <c r="M12" s="58"/>
      <c r="N12" s="58"/>
      <c r="O12" s="59"/>
      <c r="P12" s="60">
        <f t="shared" si="2"/>
        <v>0</v>
      </c>
      <c r="Q12" s="87"/>
      <c r="R12" s="62"/>
      <c r="S12" s="68"/>
      <c r="T12" s="68"/>
      <c r="U12" s="68"/>
      <c r="V12" s="69"/>
      <c r="W12" s="76"/>
      <c r="X12" s="61">
        <f t="shared" si="4"/>
        <v>0</v>
      </c>
      <c r="Y12" s="87"/>
      <c r="Z12" s="56"/>
      <c r="AA12" s="57"/>
      <c r="AB12" s="57"/>
      <c r="AC12" s="57"/>
      <c r="AD12" s="58"/>
      <c r="AE12" s="59"/>
      <c r="AF12" s="61">
        <f t="shared" si="5"/>
        <v>0</v>
      </c>
      <c r="AG12" s="87"/>
      <c r="AH12" s="56"/>
      <c r="AI12" s="57"/>
      <c r="AJ12" s="58"/>
      <c r="AK12" s="57"/>
      <c r="AL12" s="58"/>
      <c r="AM12" s="58"/>
      <c r="AN12" s="59"/>
      <c r="AO12" s="40">
        <f t="shared" si="6"/>
        <v>0</v>
      </c>
    </row>
    <row r="13" spans="1:41" ht="21.75" customHeight="1" x14ac:dyDescent="0.25">
      <c r="A13" s="7" t="s">
        <v>6</v>
      </c>
      <c r="B13" s="33">
        <v>8610</v>
      </c>
      <c r="C13" s="7">
        <v>6373</v>
      </c>
      <c r="D13" s="7">
        <v>6384</v>
      </c>
      <c r="E13" s="17">
        <f t="shared" si="3"/>
        <v>11</v>
      </c>
      <c r="F13" s="7">
        <v>26587</v>
      </c>
      <c r="G13" s="7">
        <f>+F13+150</f>
        <v>26737</v>
      </c>
      <c r="H13" s="17">
        <f t="shared" si="0"/>
        <v>150</v>
      </c>
      <c r="I13" s="37">
        <f t="shared" si="1"/>
        <v>12</v>
      </c>
      <c r="J13" s="56">
        <v>12</v>
      </c>
      <c r="K13" s="57"/>
      <c r="L13" s="57"/>
      <c r="M13" s="58"/>
      <c r="N13" s="58"/>
      <c r="O13" s="59"/>
      <c r="P13" s="60">
        <f t="shared" si="2"/>
        <v>0</v>
      </c>
      <c r="Q13" s="87"/>
      <c r="R13" s="62"/>
      <c r="S13" s="68"/>
      <c r="T13" s="68"/>
      <c r="U13" s="68"/>
      <c r="V13" s="69"/>
      <c r="W13" s="76"/>
      <c r="X13" s="61">
        <f t="shared" si="4"/>
        <v>0</v>
      </c>
      <c r="Y13" s="87"/>
      <c r="Z13" s="56"/>
      <c r="AA13" s="57"/>
      <c r="AB13" s="57"/>
      <c r="AC13" s="57"/>
      <c r="AD13" s="58"/>
      <c r="AE13" s="59"/>
      <c r="AF13" s="61">
        <f t="shared" si="5"/>
        <v>0</v>
      </c>
      <c r="AG13" s="87"/>
      <c r="AH13" s="56"/>
      <c r="AI13" s="57"/>
      <c r="AJ13" s="58"/>
      <c r="AK13" s="57"/>
      <c r="AL13" s="58"/>
      <c r="AM13" s="58"/>
      <c r="AN13" s="59"/>
      <c r="AO13" s="40">
        <f t="shared" si="6"/>
        <v>0</v>
      </c>
    </row>
    <row r="14" spans="1:41" ht="21.75" customHeight="1" x14ac:dyDescent="0.25">
      <c r="A14" s="7" t="s">
        <v>7</v>
      </c>
      <c r="B14" s="33">
        <v>8611</v>
      </c>
      <c r="C14" s="7"/>
      <c r="D14" s="7"/>
      <c r="E14" s="17">
        <f t="shared" si="3"/>
        <v>0</v>
      </c>
      <c r="F14" s="7"/>
      <c r="G14" s="7"/>
      <c r="H14" s="17">
        <f t="shared" si="0"/>
        <v>0</v>
      </c>
      <c r="I14" s="37">
        <f t="shared" si="1"/>
        <v>0</v>
      </c>
      <c r="J14" s="56"/>
      <c r="K14" s="57"/>
      <c r="L14" s="57"/>
      <c r="M14" s="58"/>
      <c r="N14" s="58"/>
      <c r="O14" s="59"/>
      <c r="P14" s="60">
        <f t="shared" si="2"/>
        <v>0</v>
      </c>
      <c r="Q14" s="87"/>
      <c r="R14" s="62"/>
      <c r="S14" s="68"/>
      <c r="T14" s="68"/>
      <c r="U14" s="68"/>
      <c r="V14" s="69"/>
      <c r="W14" s="76"/>
      <c r="X14" s="61">
        <f t="shared" si="4"/>
        <v>0</v>
      </c>
      <c r="Y14" s="87"/>
      <c r="Z14" s="56"/>
      <c r="AA14" s="57"/>
      <c r="AB14" s="57"/>
      <c r="AC14" s="57"/>
      <c r="AD14" s="58"/>
      <c r="AE14" s="59"/>
      <c r="AF14" s="61">
        <f t="shared" si="5"/>
        <v>0</v>
      </c>
      <c r="AG14" s="87"/>
      <c r="AH14" s="56"/>
      <c r="AI14" s="57"/>
      <c r="AJ14" s="58"/>
      <c r="AK14" s="57"/>
      <c r="AL14" s="58"/>
      <c r="AM14" s="58"/>
      <c r="AN14" s="59"/>
      <c r="AO14" s="40">
        <f t="shared" si="6"/>
        <v>0</v>
      </c>
    </row>
    <row r="15" spans="1:41" ht="21.75" customHeight="1" x14ac:dyDescent="0.25">
      <c r="A15" s="7" t="s">
        <v>8</v>
      </c>
      <c r="B15" s="33">
        <v>8612</v>
      </c>
      <c r="C15" s="7"/>
      <c r="D15" s="7"/>
      <c r="E15" s="17">
        <f t="shared" si="3"/>
        <v>0</v>
      </c>
      <c r="F15" s="7"/>
      <c r="G15" s="7"/>
      <c r="H15" s="17">
        <f t="shared" si="0"/>
        <v>0</v>
      </c>
      <c r="I15" s="37">
        <f t="shared" si="1"/>
        <v>0</v>
      </c>
      <c r="J15" s="56"/>
      <c r="K15" s="57"/>
      <c r="L15" s="57"/>
      <c r="M15" s="58"/>
      <c r="N15" s="58"/>
      <c r="O15" s="59"/>
      <c r="P15" s="60">
        <f t="shared" si="2"/>
        <v>0</v>
      </c>
      <c r="Q15" s="87"/>
      <c r="R15" s="62"/>
      <c r="S15" s="68"/>
      <c r="T15" s="68"/>
      <c r="U15" s="68"/>
      <c r="V15" s="69"/>
      <c r="W15" s="76"/>
      <c r="X15" s="61">
        <f t="shared" si="4"/>
        <v>0</v>
      </c>
      <c r="Y15" s="87"/>
      <c r="Z15" s="56"/>
      <c r="AA15" s="57"/>
      <c r="AB15" s="57"/>
      <c r="AC15" s="57"/>
      <c r="AD15" s="58"/>
      <c r="AE15" s="59"/>
      <c r="AF15" s="61">
        <f>SUM(AA15:AE15)</f>
        <v>0</v>
      </c>
      <c r="AG15" s="87"/>
      <c r="AH15" s="56"/>
      <c r="AI15" s="57"/>
      <c r="AJ15" s="58"/>
      <c r="AK15" s="57"/>
      <c r="AL15" s="58"/>
      <c r="AM15" s="58"/>
      <c r="AN15" s="59"/>
      <c r="AO15" s="40">
        <f t="shared" si="6"/>
        <v>0</v>
      </c>
    </row>
    <row r="16" spans="1:41" ht="21.75" customHeight="1" x14ac:dyDescent="0.25">
      <c r="A16" s="7" t="s">
        <v>9</v>
      </c>
      <c r="B16" s="33">
        <v>8613</v>
      </c>
      <c r="C16" s="7">
        <v>10697</v>
      </c>
      <c r="D16" s="7">
        <v>10708</v>
      </c>
      <c r="E16" s="17">
        <f t="shared" si="3"/>
        <v>11</v>
      </c>
      <c r="F16" s="7">
        <v>93375</v>
      </c>
      <c r="G16" s="7">
        <f>+F16+130</f>
        <v>93505</v>
      </c>
      <c r="H16" s="17">
        <f t="shared" si="0"/>
        <v>130</v>
      </c>
      <c r="I16" s="37">
        <f t="shared" si="1"/>
        <v>10</v>
      </c>
      <c r="J16" s="56">
        <v>10</v>
      </c>
      <c r="K16" s="57"/>
      <c r="L16" s="57"/>
      <c r="M16" s="58"/>
      <c r="N16" s="58"/>
      <c r="O16" s="59"/>
      <c r="P16" s="60">
        <f t="shared" si="2"/>
        <v>0</v>
      </c>
      <c r="Q16" s="87"/>
      <c r="R16" s="62"/>
      <c r="S16" s="68"/>
      <c r="T16" s="68"/>
      <c r="U16" s="68"/>
      <c r="V16" s="69"/>
      <c r="W16" s="76"/>
      <c r="X16" s="61">
        <f t="shared" si="4"/>
        <v>0</v>
      </c>
      <c r="Y16" s="87"/>
      <c r="Z16" s="56"/>
      <c r="AA16" s="57"/>
      <c r="AB16" s="57"/>
      <c r="AC16" s="57"/>
      <c r="AD16" s="58"/>
      <c r="AE16" s="59"/>
      <c r="AF16" s="61">
        <f t="shared" si="5"/>
        <v>0</v>
      </c>
      <c r="AG16" s="87"/>
      <c r="AH16" s="56"/>
      <c r="AI16" s="57"/>
      <c r="AJ16" s="58"/>
      <c r="AK16" s="57"/>
      <c r="AL16" s="58"/>
      <c r="AM16" s="58"/>
      <c r="AN16" s="59"/>
      <c r="AO16" s="40">
        <f t="shared" si="6"/>
        <v>0</v>
      </c>
    </row>
    <row r="17" spans="1:41" ht="21.75" customHeight="1" x14ac:dyDescent="0.25">
      <c r="A17" s="7" t="s">
        <v>10</v>
      </c>
      <c r="B17" s="33">
        <v>8614</v>
      </c>
      <c r="C17" s="7">
        <v>8532</v>
      </c>
      <c r="D17" s="7">
        <v>8544</v>
      </c>
      <c r="E17" s="17">
        <f t="shared" si="3"/>
        <v>12</v>
      </c>
      <c r="F17" s="7">
        <v>117774</v>
      </c>
      <c r="G17" s="7">
        <v>117963</v>
      </c>
      <c r="H17" s="17">
        <f t="shared" si="0"/>
        <v>189</v>
      </c>
      <c r="I17" s="37">
        <f t="shared" si="1"/>
        <v>11</v>
      </c>
      <c r="J17" s="56">
        <v>11</v>
      </c>
      <c r="K17" s="57"/>
      <c r="L17" s="57"/>
      <c r="M17" s="58"/>
      <c r="N17" s="58"/>
      <c r="O17" s="59"/>
      <c r="P17" s="60">
        <f t="shared" si="2"/>
        <v>0</v>
      </c>
      <c r="Q17" s="87"/>
      <c r="R17" s="62"/>
      <c r="S17" s="68"/>
      <c r="T17" s="68"/>
      <c r="U17" s="68"/>
      <c r="V17" s="69"/>
      <c r="W17" s="76"/>
      <c r="X17" s="61">
        <f t="shared" si="4"/>
        <v>0</v>
      </c>
      <c r="Y17" s="87"/>
      <c r="Z17" s="56"/>
      <c r="AA17" s="57"/>
      <c r="AB17" s="57"/>
      <c r="AC17" s="57"/>
      <c r="AD17" s="58"/>
      <c r="AE17" s="59"/>
      <c r="AF17" s="61">
        <f t="shared" si="5"/>
        <v>0</v>
      </c>
      <c r="AG17" s="87"/>
      <c r="AH17" s="56"/>
      <c r="AI17" s="57"/>
      <c r="AJ17" s="57"/>
      <c r="AK17" s="57"/>
      <c r="AL17" s="58"/>
      <c r="AM17" s="58"/>
      <c r="AN17" s="59"/>
      <c r="AO17" s="40">
        <f t="shared" si="6"/>
        <v>0</v>
      </c>
    </row>
    <row r="18" spans="1:41" ht="21.75" customHeight="1" x14ac:dyDescent="0.25">
      <c r="A18" s="7" t="s">
        <v>11</v>
      </c>
      <c r="B18" s="33">
        <v>8615</v>
      </c>
      <c r="C18" s="7"/>
      <c r="D18" s="7"/>
      <c r="E18" s="17">
        <f t="shared" si="3"/>
        <v>0</v>
      </c>
      <c r="F18" s="7"/>
      <c r="G18" s="7"/>
      <c r="H18" s="17">
        <f t="shared" si="0"/>
        <v>0</v>
      </c>
      <c r="I18" s="37">
        <f t="shared" si="1"/>
        <v>0</v>
      </c>
      <c r="J18" s="56"/>
      <c r="K18" s="57"/>
      <c r="L18" s="57"/>
      <c r="M18" s="58"/>
      <c r="N18" s="58"/>
      <c r="O18" s="59"/>
      <c r="P18" s="60">
        <f t="shared" si="2"/>
        <v>0</v>
      </c>
      <c r="Q18" s="87"/>
      <c r="R18" s="62"/>
      <c r="S18" s="68"/>
      <c r="T18" s="68"/>
      <c r="U18" s="68"/>
      <c r="V18" s="69"/>
      <c r="W18" s="76"/>
      <c r="X18" s="61">
        <f t="shared" si="4"/>
        <v>0</v>
      </c>
      <c r="Y18" s="87"/>
      <c r="Z18" s="56"/>
      <c r="AA18" s="57"/>
      <c r="AB18" s="57"/>
      <c r="AC18" s="57"/>
      <c r="AD18" s="58"/>
      <c r="AE18" s="59"/>
      <c r="AF18" s="61">
        <f t="shared" si="5"/>
        <v>0</v>
      </c>
      <c r="AG18" s="87"/>
      <c r="AH18" s="56"/>
      <c r="AI18" s="57"/>
      <c r="AJ18" s="57"/>
      <c r="AK18" s="57"/>
      <c r="AL18" s="58"/>
      <c r="AM18" s="58"/>
      <c r="AN18" s="59"/>
      <c r="AO18" s="40">
        <f t="shared" si="6"/>
        <v>0</v>
      </c>
    </row>
    <row r="19" spans="1:41" ht="21.75" customHeight="1" x14ac:dyDescent="0.25">
      <c r="A19" s="7" t="s">
        <v>12</v>
      </c>
      <c r="B19" s="33">
        <v>8616</v>
      </c>
      <c r="C19" s="7">
        <v>9974</v>
      </c>
      <c r="D19" s="7">
        <v>9982</v>
      </c>
      <c r="E19" s="17">
        <f t="shared" si="3"/>
        <v>8</v>
      </c>
      <c r="F19" s="7">
        <v>82569</v>
      </c>
      <c r="G19" s="7">
        <f>+F19+13</f>
        <v>82582</v>
      </c>
      <c r="H19" s="17">
        <f t="shared" si="0"/>
        <v>13</v>
      </c>
      <c r="I19" s="37">
        <f t="shared" si="1"/>
        <v>9</v>
      </c>
      <c r="J19" s="56">
        <v>9</v>
      </c>
      <c r="K19" s="57"/>
      <c r="L19" s="57"/>
      <c r="M19" s="58"/>
      <c r="N19" s="58"/>
      <c r="O19" s="59"/>
      <c r="P19" s="60">
        <f t="shared" si="2"/>
        <v>0</v>
      </c>
      <c r="Q19" s="87"/>
      <c r="R19" s="62"/>
      <c r="S19" s="68"/>
      <c r="T19" s="68"/>
      <c r="U19" s="68"/>
      <c r="V19" s="69"/>
      <c r="W19" s="76"/>
      <c r="X19" s="61">
        <f t="shared" si="4"/>
        <v>0</v>
      </c>
      <c r="Y19" s="87"/>
      <c r="Z19" s="56"/>
      <c r="AA19" s="57"/>
      <c r="AB19" s="57"/>
      <c r="AC19" s="57"/>
      <c r="AD19" s="58"/>
      <c r="AE19" s="59"/>
      <c r="AF19" s="61">
        <f t="shared" si="5"/>
        <v>0</v>
      </c>
      <c r="AG19" s="87"/>
      <c r="AH19" s="56"/>
      <c r="AI19" s="57"/>
      <c r="AJ19" s="57"/>
      <c r="AK19" s="57"/>
      <c r="AL19" s="58"/>
      <c r="AM19" s="58"/>
      <c r="AN19" s="59"/>
      <c r="AO19" s="40">
        <f t="shared" si="6"/>
        <v>0</v>
      </c>
    </row>
    <row r="20" spans="1:41" ht="21.75" customHeight="1" x14ac:dyDescent="0.25">
      <c r="A20" s="7" t="s">
        <v>13</v>
      </c>
      <c r="B20" s="33">
        <v>8617</v>
      </c>
      <c r="C20" s="7">
        <v>9087</v>
      </c>
      <c r="D20" s="7">
        <v>9099</v>
      </c>
      <c r="E20" s="17">
        <f t="shared" si="3"/>
        <v>12</v>
      </c>
      <c r="F20" s="7">
        <v>110768</v>
      </c>
      <c r="G20" s="7">
        <f>+F20+150</f>
        <v>110918</v>
      </c>
      <c r="H20" s="17">
        <f t="shared" si="0"/>
        <v>150</v>
      </c>
      <c r="I20" s="37">
        <f t="shared" si="1"/>
        <v>12</v>
      </c>
      <c r="J20" s="56">
        <v>12</v>
      </c>
      <c r="K20" s="57"/>
      <c r="L20" s="57"/>
      <c r="M20" s="58"/>
      <c r="N20" s="58"/>
      <c r="O20" s="59"/>
      <c r="P20" s="60">
        <f t="shared" si="2"/>
        <v>0</v>
      </c>
      <c r="Q20" s="87"/>
      <c r="R20" s="62"/>
      <c r="S20" s="68"/>
      <c r="T20" s="68"/>
      <c r="U20" s="68"/>
      <c r="V20" s="69"/>
      <c r="W20" s="76"/>
      <c r="X20" s="61">
        <f t="shared" si="4"/>
        <v>0</v>
      </c>
      <c r="Y20" s="87"/>
      <c r="Z20" s="56"/>
      <c r="AA20" s="57"/>
      <c r="AB20" s="57"/>
      <c r="AC20" s="57"/>
      <c r="AD20" s="58"/>
      <c r="AE20" s="59"/>
      <c r="AF20" s="61">
        <f t="shared" si="5"/>
        <v>0</v>
      </c>
      <c r="AG20" s="87"/>
      <c r="AH20" s="56"/>
      <c r="AI20" s="57"/>
      <c r="AJ20" s="57"/>
      <c r="AK20" s="57"/>
      <c r="AL20" s="58"/>
      <c r="AM20" s="58"/>
      <c r="AN20" s="59"/>
      <c r="AO20" s="40">
        <f t="shared" si="6"/>
        <v>0</v>
      </c>
    </row>
    <row r="21" spans="1:41" ht="21.75" customHeight="1" x14ac:dyDescent="0.25">
      <c r="A21" s="7" t="s">
        <v>14</v>
      </c>
      <c r="B21" s="33">
        <v>8618</v>
      </c>
      <c r="C21" s="7"/>
      <c r="D21" s="7"/>
      <c r="E21" s="17">
        <f t="shared" si="3"/>
        <v>0</v>
      </c>
      <c r="F21" s="7"/>
      <c r="G21" s="7"/>
      <c r="H21" s="17">
        <f t="shared" si="0"/>
        <v>0</v>
      </c>
      <c r="I21" s="37">
        <f t="shared" si="1"/>
        <v>0</v>
      </c>
      <c r="J21" s="56"/>
      <c r="K21" s="57"/>
      <c r="L21" s="57"/>
      <c r="M21" s="58"/>
      <c r="N21" s="58"/>
      <c r="O21" s="59"/>
      <c r="P21" s="60">
        <f t="shared" si="2"/>
        <v>0</v>
      </c>
      <c r="Q21" s="87"/>
      <c r="R21" s="62"/>
      <c r="S21" s="68"/>
      <c r="T21" s="68"/>
      <c r="U21" s="68"/>
      <c r="V21" s="69"/>
      <c r="W21" s="76"/>
      <c r="X21" s="61">
        <f t="shared" si="4"/>
        <v>0</v>
      </c>
      <c r="Y21" s="87"/>
      <c r="Z21" s="56"/>
      <c r="AA21" s="57"/>
      <c r="AB21" s="57"/>
      <c r="AC21" s="57"/>
      <c r="AD21" s="58"/>
      <c r="AE21" s="59"/>
      <c r="AF21" s="61">
        <f t="shared" si="5"/>
        <v>0</v>
      </c>
      <c r="AG21" s="87"/>
      <c r="AH21" s="56"/>
      <c r="AI21" s="57"/>
      <c r="AJ21" s="57"/>
      <c r="AK21" s="57"/>
      <c r="AL21" s="58"/>
      <c r="AM21" s="58"/>
      <c r="AN21" s="59"/>
      <c r="AO21" s="40">
        <f t="shared" si="6"/>
        <v>0</v>
      </c>
    </row>
    <row r="22" spans="1:41" ht="21.75" customHeight="1" x14ac:dyDescent="0.25">
      <c r="A22" s="7" t="s">
        <v>15</v>
      </c>
      <c r="B22" s="33">
        <v>8619</v>
      </c>
      <c r="C22" s="7">
        <v>10365</v>
      </c>
      <c r="D22" s="7">
        <v>10377</v>
      </c>
      <c r="E22" s="17">
        <f t="shared" si="3"/>
        <v>12</v>
      </c>
      <c r="F22" s="7">
        <v>113587</v>
      </c>
      <c r="G22" s="7">
        <f>+F22+150</f>
        <v>113737</v>
      </c>
      <c r="H22" s="17">
        <f t="shared" si="0"/>
        <v>150</v>
      </c>
      <c r="I22" s="37">
        <f t="shared" si="1"/>
        <v>14</v>
      </c>
      <c r="J22" s="56">
        <v>14</v>
      </c>
      <c r="K22" s="57"/>
      <c r="L22" s="57"/>
      <c r="M22" s="58"/>
      <c r="N22" s="58"/>
      <c r="O22" s="59"/>
      <c r="P22" s="60">
        <f t="shared" si="2"/>
        <v>0</v>
      </c>
      <c r="Q22" s="87"/>
      <c r="R22" s="62"/>
      <c r="S22" s="68"/>
      <c r="T22" s="68"/>
      <c r="U22" s="68"/>
      <c r="V22" s="69"/>
      <c r="W22" s="76"/>
      <c r="X22" s="61">
        <f t="shared" si="4"/>
        <v>0</v>
      </c>
      <c r="Y22" s="87"/>
      <c r="Z22" s="56"/>
      <c r="AA22" s="57"/>
      <c r="AB22" s="57"/>
      <c r="AC22" s="57"/>
      <c r="AD22" s="58"/>
      <c r="AE22" s="59"/>
      <c r="AF22" s="61">
        <f t="shared" si="5"/>
        <v>0</v>
      </c>
      <c r="AG22" s="87"/>
      <c r="AH22" s="56"/>
      <c r="AI22" s="57"/>
      <c r="AJ22" s="57"/>
      <c r="AK22" s="57"/>
      <c r="AL22" s="58"/>
      <c r="AM22" s="58"/>
      <c r="AN22" s="59"/>
      <c r="AO22" s="40">
        <f t="shared" si="6"/>
        <v>0</v>
      </c>
    </row>
    <row r="23" spans="1:41" ht="21.75" customHeight="1" x14ac:dyDescent="0.25">
      <c r="A23" s="7" t="s">
        <v>16</v>
      </c>
      <c r="B23" s="33">
        <v>8620</v>
      </c>
      <c r="C23" s="7">
        <v>10277</v>
      </c>
      <c r="D23" s="7">
        <v>10287</v>
      </c>
      <c r="E23" s="17">
        <f t="shared" si="3"/>
        <v>10</v>
      </c>
      <c r="F23" s="7">
        <v>139376</v>
      </c>
      <c r="G23" s="7">
        <v>139498</v>
      </c>
      <c r="H23" s="17">
        <f t="shared" si="0"/>
        <v>122</v>
      </c>
      <c r="I23" s="37">
        <f t="shared" si="1"/>
        <v>15</v>
      </c>
      <c r="J23" s="56">
        <v>15</v>
      </c>
      <c r="K23" s="57"/>
      <c r="L23" s="57"/>
      <c r="M23" s="58"/>
      <c r="N23" s="58"/>
      <c r="O23" s="59"/>
      <c r="P23" s="60">
        <f t="shared" si="2"/>
        <v>0</v>
      </c>
      <c r="Q23" s="87"/>
      <c r="R23" s="62"/>
      <c r="S23" s="68"/>
      <c r="T23" s="68"/>
      <c r="U23" s="68"/>
      <c r="V23" s="69"/>
      <c r="W23" s="76"/>
      <c r="X23" s="61">
        <f t="shared" si="4"/>
        <v>0</v>
      </c>
      <c r="Y23" s="87"/>
      <c r="Z23" s="56"/>
      <c r="AA23" s="57"/>
      <c r="AB23" s="57"/>
      <c r="AC23" s="57"/>
      <c r="AD23" s="58"/>
      <c r="AE23" s="59"/>
      <c r="AF23" s="61">
        <f t="shared" si="5"/>
        <v>0</v>
      </c>
      <c r="AG23" s="87"/>
      <c r="AH23" s="56"/>
      <c r="AI23" s="57"/>
      <c r="AJ23" s="57"/>
      <c r="AK23" s="57"/>
      <c r="AL23" s="58"/>
      <c r="AM23" s="58"/>
      <c r="AN23" s="59"/>
      <c r="AO23" s="40">
        <f t="shared" si="6"/>
        <v>0</v>
      </c>
    </row>
    <row r="24" spans="1:41" ht="21.75" customHeight="1" x14ac:dyDescent="0.25">
      <c r="A24" s="7" t="s">
        <v>17</v>
      </c>
      <c r="B24" s="33">
        <v>8621</v>
      </c>
      <c r="C24" s="7"/>
      <c r="D24" s="7"/>
      <c r="E24" s="17">
        <f t="shared" si="3"/>
        <v>0</v>
      </c>
      <c r="F24" s="7"/>
      <c r="G24" s="7"/>
      <c r="H24" s="17">
        <f t="shared" si="0"/>
        <v>0</v>
      </c>
      <c r="I24" s="37">
        <f t="shared" si="1"/>
        <v>0</v>
      </c>
      <c r="J24" s="56"/>
      <c r="K24" s="57"/>
      <c r="L24" s="57"/>
      <c r="M24" s="58"/>
      <c r="N24" s="58"/>
      <c r="O24" s="59"/>
      <c r="P24" s="60">
        <f t="shared" si="2"/>
        <v>0</v>
      </c>
      <c r="Q24" s="87"/>
      <c r="R24" s="62"/>
      <c r="S24" s="68"/>
      <c r="T24" s="68"/>
      <c r="U24" s="68"/>
      <c r="V24" s="69"/>
      <c r="W24" s="76"/>
      <c r="X24" s="61">
        <f t="shared" si="4"/>
        <v>0</v>
      </c>
      <c r="Y24" s="87"/>
      <c r="Z24" s="56"/>
      <c r="AA24" s="57"/>
      <c r="AB24" s="57"/>
      <c r="AC24" s="57"/>
      <c r="AD24" s="58"/>
      <c r="AE24" s="59"/>
      <c r="AF24" s="61">
        <f t="shared" si="5"/>
        <v>0</v>
      </c>
      <c r="AG24" s="87"/>
      <c r="AH24" s="56"/>
      <c r="AI24" s="57"/>
      <c r="AJ24" s="57"/>
      <c r="AK24" s="57"/>
      <c r="AL24" s="58"/>
      <c r="AM24" s="58"/>
      <c r="AN24" s="59"/>
      <c r="AO24" s="40">
        <f t="shared" si="6"/>
        <v>0</v>
      </c>
    </row>
    <row r="25" spans="1:41" ht="21.75" customHeight="1" x14ac:dyDescent="0.25">
      <c r="A25" s="7" t="s">
        <v>18</v>
      </c>
      <c r="B25" s="33">
        <v>8622</v>
      </c>
      <c r="C25" s="7"/>
      <c r="D25" s="7"/>
      <c r="E25" s="17">
        <f t="shared" si="3"/>
        <v>0</v>
      </c>
      <c r="F25" s="7"/>
      <c r="G25" s="7"/>
      <c r="H25" s="17">
        <f t="shared" si="0"/>
        <v>0</v>
      </c>
      <c r="I25" s="37">
        <f t="shared" si="1"/>
        <v>0</v>
      </c>
      <c r="J25" s="56"/>
      <c r="K25" s="57"/>
      <c r="L25" s="57"/>
      <c r="M25" s="58"/>
      <c r="N25" s="58"/>
      <c r="O25" s="63"/>
      <c r="P25" s="60">
        <f t="shared" si="2"/>
        <v>0</v>
      </c>
      <c r="Q25" s="87"/>
      <c r="R25" s="62"/>
      <c r="S25" s="68"/>
      <c r="T25" s="68"/>
      <c r="U25" s="68"/>
      <c r="V25" s="69"/>
      <c r="W25" s="76"/>
      <c r="X25" s="61">
        <f t="shared" si="4"/>
        <v>0</v>
      </c>
      <c r="Y25" s="87"/>
      <c r="Z25" s="56"/>
      <c r="AA25" s="57"/>
      <c r="AB25" s="57"/>
      <c r="AC25" s="57"/>
      <c r="AD25" s="58"/>
      <c r="AE25" s="59"/>
      <c r="AF25" s="61">
        <f t="shared" si="5"/>
        <v>0</v>
      </c>
      <c r="AG25" s="87"/>
      <c r="AH25" s="56"/>
      <c r="AI25" s="57"/>
      <c r="AJ25" s="57"/>
      <c r="AK25" s="57"/>
      <c r="AL25" s="58"/>
      <c r="AM25" s="58"/>
      <c r="AN25" s="59"/>
      <c r="AO25" s="40">
        <f t="shared" si="6"/>
        <v>0</v>
      </c>
    </row>
    <row r="26" spans="1:41" ht="21.75" customHeight="1" x14ac:dyDescent="0.25">
      <c r="A26" s="7" t="s">
        <v>19</v>
      </c>
      <c r="B26" s="33">
        <v>8623</v>
      </c>
      <c r="C26" s="7">
        <v>13655</v>
      </c>
      <c r="D26" s="7">
        <v>13666</v>
      </c>
      <c r="E26" s="17">
        <f t="shared" si="3"/>
        <v>11</v>
      </c>
      <c r="F26" s="7">
        <v>179729</v>
      </c>
      <c r="G26" s="7">
        <v>179886</v>
      </c>
      <c r="H26" s="17">
        <f t="shared" si="0"/>
        <v>157</v>
      </c>
      <c r="I26" s="37">
        <f t="shared" si="1"/>
        <v>11</v>
      </c>
      <c r="J26" s="56"/>
      <c r="K26" s="57"/>
      <c r="L26" s="57"/>
      <c r="M26" s="58"/>
      <c r="N26" s="64"/>
      <c r="O26" s="65"/>
      <c r="P26" s="60">
        <f t="shared" si="2"/>
        <v>0</v>
      </c>
      <c r="Q26" s="87"/>
      <c r="R26" s="62"/>
      <c r="S26" s="68"/>
      <c r="T26" s="68"/>
      <c r="U26" s="68"/>
      <c r="V26" s="69"/>
      <c r="W26" s="76"/>
      <c r="X26" s="61">
        <f t="shared" si="4"/>
        <v>0</v>
      </c>
      <c r="Y26" s="87"/>
      <c r="Z26" s="56"/>
      <c r="AA26" s="57"/>
      <c r="AB26" s="66"/>
      <c r="AC26" s="57"/>
      <c r="AD26" s="58"/>
      <c r="AE26" s="59"/>
      <c r="AF26" s="61">
        <f t="shared" si="5"/>
        <v>0</v>
      </c>
      <c r="AG26" s="87"/>
      <c r="AH26" s="56">
        <v>5</v>
      </c>
      <c r="AI26" s="67"/>
      <c r="AJ26" s="57">
        <v>1</v>
      </c>
      <c r="AK26" s="57">
        <v>5</v>
      </c>
      <c r="AL26" s="58"/>
      <c r="AM26" s="58"/>
      <c r="AN26" s="59"/>
      <c r="AO26" s="40">
        <f t="shared" si="6"/>
        <v>6</v>
      </c>
    </row>
    <row r="27" spans="1:41" ht="20.25" customHeight="1" x14ac:dyDescent="0.25">
      <c r="A27" s="7" t="s">
        <v>20</v>
      </c>
      <c r="B27" s="33">
        <v>8624</v>
      </c>
      <c r="C27" s="7">
        <v>5177</v>
      </c>
      <c r="D27" s="7">
        <v>5188</v>
      </c>
      <c r="E27" s="17">
        <f t="shared" si="3"/>
        <v>11</v>
      </c>
      <c r="F27" s="7">
        <v>234696</v>
      </c>
      <c r="G27" s="7">
        <v>234843</v>
      </c>
      <c r="H27" s="17">
        <f t="shared" si="0"/>
        <v>147</v>
      </c>
      <c r="I27" s="37">
        <f t="shared" si="1"/>
        <v>11</v>
      </c>
      <c r="J27" s="56"/>
      <c r="K27" s="68"/>
      <c r="L27" s="57"/>
      <c r="M27" s="58"/>
      <c r="N27" s="58"/>
      <c r="O27" s="59"/>
      <c r="P27" s="60">
        <f t="shared" si="2"/>
        <v>0</v>
      </c>
      <c r="Q27" s="87"/>
      <c r="R27" s="62"/>
      <c r="S27" s="57"/>
      <c r="T27" s="68"/>
      <c r="U27" s="68"/>
      <c r="V27" s="69"/>
      <c r="W27" s="76"/>
      <c r="X27" s="61">
        <f t="shared" si="4"/>
        <v>0</v>
      </c>
      <c r="Y27" s="87"/>
      <c r="Z27" s="56"/>
      <c r="AA27" s="57"/>
      <c r="AB27" s="57"/>
      <c r="AC27" s="57"/>
      <c r="AD27" s="58"/>
      <c r="AE27" s="59"/>
      <c r="AF27" s="61">
        <f t="shared" si="5"/>
        <v>0</v>
      </c>
      <c r="AG27" s="87"/>
      <c r="AH27" s="56">
        <v>5</v>
      </c>
      <c r="AI27" s="67">
        <v>1</v>
      </c>
      <c r="AJ27" s="57">
        <v>1</v>
      </c>
      <c r="AK27" s="57">
        <v>4</v>
      </c>
      <c r="AL27" s="58"/>
      <c r="AM27" s="58"/>
      <c r="AN27" s="59"/>
      <c r="AO27" s="40">
        <f t="shared" si="6"/>
        <v>6</v>
      </c>
    </row>
    <row r="28" spans="1:41" ht="21.75" customHeight="1" x14ac:dyDescent="0.25">
      <c r="A28" s="7" t="s">
        <v>21</v>
      </c>
      <c r="B28" s="33">
        <v>8625</v>
      </c>
      <c r="C28" s="7">
        <v>7276</v>
      </c>
      <c r="D28" s="7">
        <v>7287</v>
      </c>
      <c r="E28" s="17">
        <f t="shared" si="3"/>
        <v>11</v>
      </c>
      <c r="F28" s="7">
        <v>279050</v>
      </c>
      <c r="G28" s="7">
        <v>279173</v>
      </c>
      <c r="H28" s="17">
        <f t="shared" si="0"/>
        <v>123</v>
      </c>
      <c r="I28" s="37">
        <f t="shared" si="1"/>
        <v>9</v>
      </c>
      <c r="J28" s="56"/>
      <c r="K28" s="57"/>
      <c r="L28" s="57"/>
      <c r="M28" s="58"/>
      <c r="N28" s="58"/>
      <c r="O28" s="59"/>
      <c r="P28" s="60">
        <f t="shared" si="2"/>
        <v>0</v>
      </c>
      <c r="Q28" s="87"/>
      <c r="R28" s="62"/>
      <c r="S28" s="68"/>
      <c r="T28" s="68"/>
      <c r="U28" s="68"/>
      <c r="V28" s="69"/>
      <c r="W28" s="76"/>
      <c r="X28" s="61">
        <f t="shared" si="4"/>
        <v>0</v>
      </c>
      <c r="Y28" s="87"/>
      <c r="Z28" s="56">
        <v>3</v>
      </c>
      <c r="AA28" s="57">
        <v>6</v>
      </c>
      <c r="AB28" s="57"/>
      <c r="AC28" s="57"/>
      <c r="AD28" s="58"/>
      <c r="AE28" s="59"/>
      <c r="AF28" s="61">
        <f t="shared" si="5"/>
        <v>6</v>
      </c>
      <c r="AG28" s="87"/>
      <c r="AH28" s="56"/>
      <c r="AI28" s="67"/>
      <c r="AJ28" s="57"/>
      <c r="AK28" s="57"/>
      <c r="AL28" s="58"/>
      <c r="AM28" s="58"/>
      <c r="AN28" s="59"/>
      <c r="AO28" s="40">
        <f t="shared" si="6"/>
        <v>0</v>
      </c>
    </row>
    <row r="29" spans="1:41" ht="21.75" customHeight="1" x14ac:dyDescent="0.25">
      <c r="A29" s="7" t="s">
        <v>22</v>
      </c>
      <c r="B29" s="33">
        <v>8626</v>
      </c>
      <c r="C29" s="7"/>
      <c r="D29" s="7"/>
      <c r="E29" s="17">
        <f t="shared" si="3"/>
        <v>0</v>
      </c>
      <c r="F29" s="7"/>
      <c r="G29" s="7"/>
      <c r="H29" s="17">
        <f t="shared" si="0"/>
        <v>0</v>
      </c>
      <c r="I29" s="37">
        <f t="shared" si="1"/>
        <v>0</v>
      </c>
      <c r="J29" s="56"/>
      <c r="K29" s="57"/>
      <c r="L29" s="57"/>
      <c r="M29" s="58"/>
      <c r="N29" s="58"/>
      <c r="O29" s="59"/>
      <c r="P29" s="60">
        <f t="shared" si="2"/>
        <v>0</v>
      </c>
      <c r="Q29" s="87"/>
      <c r="R29" s="62"/>
      <c r="S29" s="68"/>
      <c r="T29" s="68"/>
      <c r="U29" s="68"/>
      <c r="V29" s="69"/>
      <c r="W29" s="76"/>
      <c r="X29" s="61">
        <f t="shared" si="4"/>
        <v>0</v>
      </c>
      <c r="Y29" s="87"/>
      <c r="Z29" s="56"/>
      <c r="AA29" s="57"/>
      <c r="AB29" s="57"/>
      <c r="AC29" s="57"/>
      <c r="AD29" s="58"/>
      <c r="AE29" s="59"/>
      <c r="AF29" s="61">
        <f t="shared" si="5"/>
        <v>0</v>
      </c>
      <c r="AG29" s="87"/>
      <c r="AH29" s="56"/>
      <c r="AI29" s="67"/>
      <c r="AJ29" s="57"/>
      <c r="AK29" s="57"/>
      <c r="AL29" s="58"/>
      <c r="AM29" s="58"/>
      <c r="AN29" s="59"/>
      <c r="AO29" s="40">
        <f t="shared" si="6"/>
        <v>0</v>
      </c>
    </row>
    <row r="30" spans="1:41" ht="21.75" customHeight="1" x14ac:dyDescent="0.25">
      <c r="A30" s="7" t="s">
        <v>23</v>
      </c>
      <c r="B30" s="33">
        <v>8627</v>
      </c>
      <c r="C30" s="7">
        <v>11294</v>
      </c>
      <c r="D30" s="7">
        <v>11302</v>
      </c>
      <c r="E30" s="17">
        <f t="shared" si="3"/>
        <v>8</v>
      </c>
      <c r="F30" s="7">
        <v>139550</v>
      </c>
      <c r="G30" s="7">
        <f>+F30+120</f>
        <v>139670</v>
      </c>
      <c r="H30" s="17">
        <f t="shared" si="0"/>
        <v>120</v>
      </c>
      <c r="I30" s="37">
        <f t="shared" si="1"/>
        <v>7</v>
      </c>
      <c r="J30" s="56"/>
      <c r="K30" s="57"/>
      <c r="L30" s="57"/>
      <c r="M30" s="58"/>
      <c r="N30" s="58"/>
      <c r="O30" s="59"/>
      <c r="P30" s="60">
        <f t="shared" si="2"/>
        <v>0</v>
      </c>
      <c r="Q30" s="87"/>
      <c r="R30" s="62"/>
      <c r="S30" s="68"/>
      <c r="T30" s="68"/>
      <c r="U30" s="68"/>
      <c r="V30" s="69"/>
      <c r="W30" s="76"/>
      <c r="X30" s="61">
        <f t="shared" si="4"/>
        <v>0</v>
      </c>
      <c r="Y30" s="87"/>
      <c r="Z30" s="56">
        <v>2</v>
      </c>
      <c r="AA30" s="57">
        <v>5</v>
      </c>
      <c r="AB30" s="57"/>
      <c r="AC30" s="57"/>
      <c r="AD30" s="58"/>
      <c r="AE30" s="59"/>
      <c r="AF30" s="61">
        <f t="shared" si="5"/>
        <v>5</v>
      </c>
      <c r="AG30" s="87"/>
      <c r="AH30" s="56"/>
      <c r="AI30" s="67"/>
      <c r="AJ30" s="57"/>
      <c r="AK30" s="57"/>
      <c r="AL30" s="58"/>
      <c r="AM30" s="58"/>
      <c r="AN30" s="59"/>
      <c r="AO30" s="40">
        <f t="shared" si="6"/>
        <v>0</v>
      </c>
    </row>
    <row r="31" spans="1:41" ht="21.75" customHeight="1" x14ac:dyDescent="0.25">
      <c r="A31" s="7" t="s">
        <v>24</v>
      </c>
      <c r="B31" s="33">
        <v>8628</v>
      </c>
      <c r="C31" s="7"/>
      <c r="D31" s="7"/>
      <c r="E31" s="17">
        <f t="shared" si="3"/>
        <v>0</v>
      </c>
      <c r="F31" s="7"/>
      <c r="G31" s="7"/>
      <c r="H31" s="17">
        <f t="shared" si="0"/>
        <v>0</v>
      </c>
      <c r="I31" s="37">
        <f t="shared" si="1"/>
        <v>0</v>
      </c>
      <c r="J31" s="56"/>
      <c r="K31" s="57"/>
      <c r="L31" s="57"/>
      <c r="M31" s="58"/>
      <c r="N31" s="58"/>
      <c r="O31" s="59"/>
      <c r="P31" s="60">
        <f t="shared" si="2"/>
        <v>0</v>
      </c>
      <c r="Q31" s="87"/>
      <c r="R31" s="62"/>
      <c r="S31" s="68"/>
      <c r="T31" s="68"/>
      <c r="U31" s="68"/>
      <c r="V31" s="69"/>
      <c r="W31" s="76"/>
      <c r="X31" s="61">
        <f t="shared" si="4"/>
        <v>0</v>
      </c>
      <c r="Y31" s="87"/>
      <c r="Z31" s="56"/>
      <c r="AA31" s="57"/>
      <c r="AB31" s="57"/>
      <c r="AC31" s="57"/>
      <c r="AD31" s="58"/>
      <c r="AE31" s="59"/>
      <c r="AF31" s="61">
        <f t="shared" si="5"/>
        <v>0</v>
      </c>
      <c r="AG31" s="87"/>
      <c r="AH31" s="56"/>
      <c r="AI31" s="67"/>
      <c r="AJ31" s="57"/>
      <c r="AK31" s="57"/>
      <c r="AL31" s="58"/>
      <c r="AM31" s="58"/>
      <c r="AN31" s="59"/>
      <c r="AO31" s="40">
        <f t="shared" si="6"/>
        <v>0</v>
      </c>
    </row>
    <row r="32" spans="1:41" ht="21.75" customHeight="1" x14ac:dyDescent="0.25">
      <c r="A32" s="7" t="s">
        <v>25</v>
      </c>
      <c r="B32" s="33">
        <v>8629</v>
      </c>
      <c r="C32" s="7">
        <v>11123</v>
      </c>
      <c r="D32" s="7">
        <v>11135</v>
      </c>
      <c r="E32" s="17">
        <f>D32-C32</f>
        <v>12</v>
      </c>
      <c r="F32" s="7">
        <v>145031</v>
      </c>
      <c r="G32" s="7">
        <v>145163</v>
      </c>
      <c r="H32" s="17">
        <f t="shared" si="0"/>
        <v>132</v>
      </c>
      <c r="I32" s="37">
        <f t="shared" si="1"/>
        <v>10</v>
      </c>
      <c r="J32" s="56"/>
      <c r="K32" s="57"/>
      <c r="L32" s="57"/>
      <c r="M32" s="58"/>
      <c r="N32" s="58"/>
      <c r="O32" s="59"/>
      <c r="P32" s="60">
        <f t="shared" si="2"/>
        <v>0</v>
      </c>
      <c r="Q32" s="87"/>
      <c r="R32" s="62"/>
      <c r="S32" s="68"/>
      <c r="T32" s="68"/>
      <c r="U32" s="68"/>
      <c r="V32" s="69"/>
      <c r="W32" s="76"/>
      <c r="X32" s="61">
        <f t="shared" si="4"/>
        <v>0</v>
      </c>
      <c r="Y32" s="87"/>
      <c r="Z32" s="56">
        <v>3</v>
      </c>
      <c r="AA32" s="57">
        <v>7</v>
      </c>
      <c r="AB32" s="57"/>
      <c r="AC32" s="57"/>
      <c r="AD32" s="58"/>
      <c r="AE32" s="59"/>
      <c r="AF32" s="61">
        <f t="shared" si="5"/>
        <v>7</v>
      </c>
      <c r="AG32" s="87"/>
      <c r="AH32" s="56"/>
      <c r="AI32" s="67"/>
      <c r="AJ32" s="57"/>
      <c r="AK32" s="57"/>
      <c r="AL32" s="58"/>
      <c r="AM32" s="58"/>
      <c r="AN32" s="59"/>
      <c r="AO32" s="40">
        <f t="shared" si="6"/>
        <v>0</v>
      </c>
    </row>
    <row r="33" spans="1:41" ht="21.75" customHeight="1" x14ac:dyDescent="0.25">
      <c r="A33" s="7" t="s">
        <v>26</v>
      </c>
      <c r="B33" s="33">
        <v>8630</v>
      </c>
      <c r="C33" s="7">
        <v>5965.6</v>
      </c>
      <c r="D33" s="7">
        <v>5977.5</v>
      </c>
      <c r="E33" s="17">
        <f t="shared" si="3"/>
        <v>11.899999999999636</v>
      </c>
      <c r="F33" s="7">
        <v>74932</v>
      </c>
      <c r="G33" s="7">
        <f>+F33+150</f>
        <v>75082</v>
      </c>
      <c r="H33" s="17">
        <f t="shared" si="0"/>
        <v>150</v>
      </c>
      <c r="I33" s="37">
        <f t="shared" si="1"/>
        <v>13</v>
      </c>
      <c r="J33" s="56"/>
      <c r="K33" s="57"/>
      <c r="L33" s="57"/>
      <c r="M33" s="58"/>
      <c r="N33" s="58"/>
      <c r="O33" s="59"/>
      <c r="P33" s="60">
        <f t="shared" si="2"/>
        <v>0</v>
      </c>
      <c r="Q33" s="87"/>
      <c r="R33" s="62"/>
      <c r="S33" s="68"/>
      <c r="T33" s="68"/>
      <c r="U33" s="68"/>
      <c r="V33" s="69"/>
      <c r="W33" s="76"/>
      <c r="X33" s="61">
        <f t="shared" si="4"/>
        <v>0</v>
      </c>
      <c r="Y33" s="87"/>
      <c r="Z33" s="56"/>
      <c r="AA33" s="57"/>
      <c r="AB33" s="57"/>
      <c r="AC33" s="57"/>
      <c r="AD33" s="58"/>
      <c r="AE33" s="59"/>
      <c r="AF33" s="61">
        <f t="shared" si="5"/>
        <v>0</v>
      </c>
      <c r="AG33" s="87"/>
      <c r="AH33" s="56">
        <v>6</v>
      </c>
      <c r="AI33" s="67">
        <v>1</v>
      </c>
      <c r="AJ33" s="57">
        <v>1</v>
      </c>
      <c r="AK33" s="57">
        <v>5</v>
      </c>
      <c r="AL33" s="58"/>
      <c r="AM33" s="58"/>
      <c r="AN33" s="59"/>
      <c r="AO33" s="40">
        <f t="shared" si="6"/>
        <v>7</v>
      </c>
    </row>
    <row r="34" spans="1:41" ht="21.75" customHeight="1" x14ac:dyDescent="0.25">
      <c r="A34" s="7" t="s">
        <v>27</v>
      </c>
      <c r="B34" s="33">
        <v>8632</v>
      </c>
      <c r="C34" s="7">
        <v>9111</v>
      </c>
      <c r="D34" s="7">
        <v>9118.7999999999993</v>
      </c>
      <c r="E34" s="17">
        <f t="shared" si="3"/>
        <v>7.7999999999992724</v>
      </c>
      <c r="F34" s="7">
        <v>90258</v>
      </c>
      <c r="G34" s="7">
        <f>+F34+100</f>
        <v>90358</v>
      </c>
      <c r="H34" s="17">
        <f t="shared" si="0"/>
        <v>100</v>
      </c>
      <c r="I34" s="37">
        <f t="shared" si="1"/>
        <v>5</v>
      </c>
      <c r="J34" s="109"/>
      <c r="K34" s="110"/>
      <c r="L34" s="110"/>
      <c r="M34" s="111"/>
      <c r="N34" s="111"/>
      <c r="O34" s="112"/>
      <c r="P34" s="60">
        <f t="shared" si="2"/>
        <v>0</v>
      </c>
      <c r="Q34" s="87"/>
      <c r="R34" s="62"/>
      <c r="S34" s="68"/>
      <c r="T34" s="68"/>
      <c r="U34" s="68"/>
      <c r="V34" s="69"/>
      <c r="W34" s="76"/>
      <c r="X34" s="61">
        <f t="shared" si="4"/>
        <v>0</v>
      </c>
      <c r="Y34" s="87"/>
      <c r="Z34" s="56">
        <v>2</v>
      </c>
      <c r="AA34" s="57">
        <v>3</v>
      </c>
      <c r="AB34" s="57"/>
      <c r="AC34" s="57"/>
      <c r="AD34" s="58"/>
      <c r="AE34" s="59"/>
      <c r="AF34" s="61">
        <f t="shared" si="5"/>
        <v>3</v>
      </c>
      <c r="AG34" s="87"/>
      <c r="AH34" s="56"/>
      <c r="AI34" s="67"/>
      <c r="AJ34" s="57"/>
      <c r="AK34" s="57"/>
      <c r="AL34" s="58"/>
      <c r="AM34" s="58"/>
      <c r="AN34" s="59"/>
      <c r="AO34" s="40">
        <f t="shared" si="6"/>
        <v>0</v>
      </c>
    </row>
    <row r="35" spans="1:41" ht="21.75" customHeight="1" x14ac:dyDescent="0.25">
      <c r="A35" s="7" t="s">
        <v>34</v>
      </c>
      <c r="B35" s="33">
        <v>8633</v>
      </c>
      <c r="C35" s="7">
        <v>7960.3</v>
      </c>
      <c r="D35" s="7">
        <v>7972.3</v>
      </c>
      <c r="E35" s="17">
        <f t="shared" si="3"/>
        <v>12</v>
      </c>
      <c r="F35" s="7">
        <v>91538</v>
      </c>
      <c r="G35" s="7">
        <f>+F35+150</f>
        <v>91688</v>
      </c>
      <c r="H35" s="17">
        <f t="shared" si="0"/>
        <v>150</v>
      </c>
      <c r="I35" s="37">
        <f t="shared" si="1"/>
        <v>12</v>
      </c>
      <c r="J35" s="56">
        <v>1</v>
      </c>
      <c r="K35" s="57"/>
      <c r="L35" s="57"/>
      <c r="M35" s="58"/>
      <c r="N35" s="58"/>
      <c r="O35" s="59"/>
      <c r="P35" s="60">
        <f t="shared" si="2"/>
        <v>0</v>
      </c>
      <c r="Q35" s="87"/>
      <c r="R35" s="62"/>
      <c r="S35" s="68"/>
      <c r="T35" s="68"/>
      <c r="U35" s="68"/>
      <c r="V35" s="69"/>
      <c r="W35" s="76"/>
      <c r="X35" s="61">
        <f t="shared" si="4"/>
        <v>0</v>
      </c>
      <c r="Y35" s="87"/>
      <c r="Z35" s="56"/>
      <c r="AA35" s="57"/>
      <c r="AB35" s="57"/>
      <c r="AC35" s="57"/>
      <c r="AD35" s="58"/>
      <c r="AE35" s="59"/>
      <c r="AF35" s="61">
        <f t="shared" si="5"/>
        <v>0</v>
      </c>
      <c r="AG35" s="87"/>
      <c r="AH35" s="56">
        <v>4</v>
      </c>
      <c r="AI35" s="67">
        <v>1</v>
      </c>
      <c r="AJ35" s="57">
        <v>1</v>
      </c>
      <c r="AK35" s="57">
        <v>5</v>
      </c>
      <c r="AL35" s="58"/>
      <c r="AM35" s="58"/>
      <c r="AN35" s="59"/>
      <c r="AO35" s="40">
        <f t="shared" si="6"/>
        <v>7</v>
      </c>
    </row>
    <row r="36" spans="1:41" ht="21.75" customHeight="1" x14ac:dyDescent="0.25">
      <c r="A36" s="7" t="s">
        <v>33</v>
      </c>
      <c r="B36" s="34">
        <v>8644</v>
      </c>
      <c r="C36" s="7"/>
      <c r="D36" s="7"/>
      <c r="E36" s="17">
        <v>45</v>
      </c>
      <c r="F36" s="7"/>
      <c r="G36" s="7"/>
      <c r="H36" s="17">
        <f t="shared" si="0"/>
        <v>0</v>
      </c>
      <c r="I36" s="91">
        <f t="shared" si="1"/>
        <v>0</v>
      </c>
      <c r="J36" s="56"/>
      <c r="K36" s="57"/>
      <c r="L36" s="57"/>
      <c r="M36" s="58"/>
      <c r="N36" s="58"/>
      <c r="O36" s="59"/>
      <c r="P36" s="60">
        <f t="shared" si="2"/>
        <v>0</v>
      </c>
      <c r="Q36" s="87"/>
      <c r="R36" s="62"/>
      <c r="S36" s="68"/>
      <c r="T36" s="68"/>
      <c r="U36" s="68"/>
      <c r="V36" s="69"/>
      <c r="W36" s="76"/>
      <c r="X36" s="61">
        <f t="shared" si="4"/>
        <v>0</v>
      </c>
      <c r="Y36" s="87"/>
      <c r="Z36" s="56"/>
      <c r="AA36" s="57"/>
      <c r="AB36" s="57"/>
      <c r="AC36" s="57"/>
      <c r="AD36" s="58"/>
      <c r="AE36" s="59"/>
      <c r="AF36" s="61">
        <f t="shared" si="5"/>
        <v>0</v>
      </c>
      <c r="AG36" s="87"/>
      <c r="AH36" s="56"/>
      <c r="AI36" s="67"/>
      <c r="AJ36" s="57"/>
      <c r="AK36" s="57"/>
      <c r="AL36" s="58"/>
      <c r="AM36" s="58"/>
      <c r="AN36" s="59"/>
      <c r="AO36" s="40">
        <f t="shared" si="6"/>
        <v>0</v>
      </c>
    </row>
    <row r="37" spans="1:41" ht="21.75" customHeight="1" x14ac:dyDescent="0.25">
      <c r="A37" s="7" t="s">
        <v>33</v>
      </c>
      <c r="B37" s="34">
        <v>8645</v>
      </c>
      <c r="C37" s="7">
        <v>10431</v>
      </c>
      <c r="D37" s="7">
        <v>10437.799999999999</v>
      </c>
      <c r="E37" s="17">
        <f t="shared" si="3"/>
        <v>6.7999999999992724</v>
      </c>
      <c r="F37" s="7">
        <v>146468</v>
      </c>
      <c r="G37" s="7">
        <f>+F37+150</f>
        <v>146618</v>
      </c>
      <c r="H37" s="17">
        <f t="shared" si="0"/>
        <v>150</v>
      </c>
      <c r="I37" s="91">
        <f t="shared" si="1"/>
        <v>9</v>
      </c>
      <c r="J37" s="56"/>
      <c r="K37" s="68"/>
      <c r="L37" s="68"/>
      <c r="M37" s="69"/>
      <c r="N37" s="69"/>
      <c r="O37" s="59"/>
      <c r="P37" s="60">
        <f t="shared" si="2"/>
        <v>0</v>
      </c>
      <c r="Q37" s="87"/>
      <c r="R37" s="62"/>
      <c r="S37" s="68"/>
      <c r="T37" s="68"/>
      <c r="U37" s="68"/>
      <c r="V37" s="69"/>
      <c r="W37" s="76"/>
      <c r="X37" s="61">
        <f t="shared" si="4"/>
        <v>0</v>
      </c>
      <c r="Y37" s="87"/>
      <c r="Z37" s="56">
        <v>4</v>
      </c>
      <c r="AA37" s="57">
        <v>5</v>
      </c>
      <c r="AB37" s="57"/>
      <c r="AC37" s="57"/>
      <c r="AD37" s="58"/>
      <c r="AE37" s="59"/>
      <c r="AF37" s="61">
        <f t="shared" si="5"/>
        <v>5</v>
      </c>
      <c r="AG37" s="87"/>
      <c r="AH37" s="56"/>
      <c r="AI37" s="67"/>
      <c r="AJ37" s="57"/>
      <c r="AK37" s="57"/>
      <c r="AL37" s="58"/>
      <c r="AM37" s="58"/>
      <c r="AN37" s="59"/>
      <c r="AO37" s="40">
        <f t="shared" si="6"/>
        <v>0</v>
      </c>
    </row>
    <row r="38" spans="1:41" ht="21.75" customHeight="1" x14ac:dyDescent="0.25">
      <c r="A38" s="7" t="s">
        <v>28</v>
      </c>
      <c r="B38" s="33">
        <v>8651</v>
      </c>
      <c r="C38" s="7">
        <v>6292.6</v>
      </c>
      <c r="D38" s="7">
        <v>6302.8</v>
      </c>
      <c r="E38" s="17">
        <f t="shared" si="3"/>
        <v>10.199999999999818</v>
      </c>
      <c r="F38" s="7">
        <v>81034</v>
      </c>
      <c r="G38" s="7">
        <v>81174</v>
      </c>
      <c r="H38" s="17">
        <f t="shared" si="0"/>
        <v>140</v>
      </c>
      <c r="I38" s="91">
        <f t="shared" si="1"/>
        <v>11</v>
      </c>
      <c r="J38" s="62"/>
      <c r="K38" s="57"/>
      <c r="L38" s="57"/>
      <c r="M38" s="58"/>
      <c r="N38" s="58"/>
      <c r="O38" s="59"/>
      <c r="P38" s="60">
        <f t="shared" si="2"/>
        <v>0</v>
      </c>
      <c r="Q38" s="87"/>
      <c r="R38" s="62">
        <v>1</v>
      </c>
      <c r="S38" s="68"/>
      <c r="T38" s="68"/>
      <c r="U38" s="68"/>
      <c r="V38" s="69"/>
      <c r="W38" s="76"/>
      <c r="X38" s="61">
        <f t="shared" si="4"/>
        <v>0</v>
      </c>
      <c r="Y38" s="87"/>
      <c r="Z38" s="56">
        <v>3</v>
      </c>
      <c r="AA38" s="57">
        <v>7</v>
      </c>
      <c r="AB38" s="57"/>
      <c r="AC38" s="57"/>
      <c r="AD38" s="58"/>
      <c r="AE38" s="59"/>
      <c r="AF38" s="61">
        <f t="shared" si="5"/>
        <v>7</v>
      </c>
      <c r="AG38" s="87"/>
      <c r="AH38" s="56"/>
      <c r="AI38" s="67"/>
      <c r="AJ38" s="57"/>
      <c r="AK38" s="57"/>
      <c r="AL38" s="58"/>
      <c r="AM38" s="58"/>
      <c r="AN38" s="59"/>
      <c r="AO38" s="40">
        <f t="shared" si="6"/>
        <v>0</v>
      </c>
    </row>
    <row r="39" spans="1:41" ht="21.75" customHeight="1" thickBot="1" x14ac:dyDescent="0.3">
      <c r="A39" s="8" t="s">
        <v>29</v>
      </c>
      <c r="B39" s="81">
        <v>8652</v>
      </c>
      <c r="C39" s="8">
        <v>5852.6</v>
      </c>
      <c r="D39" s="8">
        <v>5856</v>
      </c>
      <c r="E39" s="82">
        <f t="shared" si="3"/>
        <v>3.3999999999996362</v>
      </c>
      <c r="F39" s="8">
        <v>75007</v>
      </c>
      <c r="G39" s="8">
        <v>75078</v>
      </c>
      <c r="H39" s="82">
        <f t="shared" si="0"/>
        <v>71</v>
      </c>
      <c r="I39" s="92">
        <f t="shared" si="1"/>
        <v>4</v>
      </c>
      <c r="J39" s="70">
        <v>4</v>
      </c>
      <c r="K39" s="71"/>
      <c r="L39" s="71"/>
      <c r="M39" s="72"/>
      <c r="N39" s="72"/>
      <c r="O39" s="73"/>
      <c r="P39" s="74">
        <f t="shared" si="2"/>
        <v>0</v>
      </c>
      <c r="Q39" s="87"/>
      <c r="R39" s="77"/>
      <c r="S39" s="78"/>
      <c r="T39" s="78"/>
      <c r="U39" s="78"/>
      <c r="V39" s="79"/>
      <c r="W39" s="80"/>
      <c r="X39" s="93">
        <f t="shared" si="4"/>
        <v>0</v>
      </c>
      <c r="Y39" s="87"/>
      <c r="Z39" s="70"/>
      <c r="AA39" s="71"/>
      <c r="AB39" s="71"/>
      <c r="AC39" s="71"/>
      <c r="AD39" s="72"/>
      <c r="AE39" s="73"/>
      <c r="AF39" s="93">
        <f t="shared" si="5"/>
        <v>0</v>
      </c>
      <c r="AG39" s="87"/>
      <c r="AH39" s="70"/>
      <c r="AI39" s="75"/>
      <c r="AJ39" s="71"/>
      <c r="AK39" s="71"/>
      <c r="AL39" s="72"/>
      <c r="AM39" s="72"/>
      <c r="AN39" s="73"/>
      <c r="AO39" s="41">
        <f t="shared" si="6"/>
        <v>0</v>
      </c>
    </row>
    <row r="40" spans="1:41" ht="24.75" customHeight="1" x14ac:dyDescent="0.25">
      <c r="I40" s="89">
        <f>SUM(I4:I39)</f>
        <v>254</v>
      </c>
      <c r="J40" s="88">
        <f>SUM(J4:J39)</f>
        <v>128</v>
      </c>
      <c r="K40" s="88">
        <f>SUM(K4:K39)</f>
        <v>0</v>
      </c>
      <c r="L40" s="88">
        <f>SUM(L4:L39)</f>
        <v>0</v>
      </c>
      <c r="M40" s="88">
        <f t="shared" ref="M40" si="7">SUM(M4:M39)</f>
        <v>0</v>
      </c>
      <c r="N40" s="88">
        <f>SUM(N4:N39)</f>
        <v>0</v>
      </c>
      <c r="O40" s="88">
        <f>SUM(O4:O39)</f>
        <v>0</v>
      </c>
      <c r="P40" s="90"/>
      <c r="R40" s="108">
        <f t="shared" ref="R40:W40" si="8">SUM(R4:R39)</f>
        <v>7</v>
      </c>
      <c r="S40" s="83">
        <f t="shared" si="8"/>
        <v>4</v>
      </c>
      <c r="T40" s="83">
        <f t="shared" si="8"/>
        <v>2</v>
      </c>
      <c r="U40" s="83">
        <f t="shared" si="8"/>
        <v>12</v>
      </c>
      <c r="V40" s="83">
        <f t="shared" si="8"/>
        <v>5</v>
      </c>
      <c r="W40" s="83">
        <f t="shared" si="8"/>
        <v>0</v>
      </c>
      <c r="X40" s="84"/>
      <c r="Z40" s="94">
        <f t="shared" ref="Z40:AE40" si="9">SUM(Z4:Z39)</f>
        <v>17</v>
      </c>
      <c r="AA40" s="83">
        <f t="shared" si="9"/>
        <v>33</v>
      </c>
      <c r="AB40" s="83">
        <f t="shared" si="9"/>
        <v>0</v>
      </c>
      <c r="AC40" s="83">
        <f t="shared" si="9"/>
        <v>0</v>
      </c>
      <c r="AD40" s="83">
        <f t="shared" si="9"/>
        <v>0</v>
      </c>
      <c r="AE40" s="83">
        <f t="shared" si="9"/>
        <v>0</v>
      </c>
      <c r="AF40" s="84"/>
      <c r="AH40" s="94">
        <f>SUM(AH4:AH39)</f>
        <v>20</v>
      </c>
      <c r="AI40" s="83">
        <f t="shared" ref="AI40:AN40" si="10">SUM(AI4:AI39)</f>
        <v>3</v>
      </c>
      <c r="AJ40" s="83">
        <f t="shared" si="10"/>
        <v>4</v>
      </c>
      <c r="AK40" s="83">
        <f t="shared" si="10"/>
        <v>19</v>
      </c>
      <c r="AL40" s="83">
        <f t="shared" si="10"/>
        <v>0</v>
      </c>
      <c r="AM40" s="83">
        <f t="shared" si="10"/>
        <v>0</v>
      </c>
      <c r="AN40" s="83">
        <f t="shared" si="10"/>
        <v>0</v>
      </c>
      <c r="AO40" s="95"/>
    </row>
    <row r="41" spans="1:41" ht="24.75" customHeight="1" x14ac:dyDescent="0.25">
      <c r="H41" t="s">
        <v>46</v>
      </c>
      <c r="I41" s="38"/>
      <c r="J41" s="1">
        <f>SUM(J4:J23)*25</f>
        <v>3075</v>
      </c>
      <c r="K41" s="1">
        <f t="shared" ref="K41:W41" si="11">SUM(K4:K23)*25</f>
        <v>0</v>
      </c>
      <c r="L41" s="1">
        <f t="shared" si="11"/>
        <v>0</v>
      </c>
      <c r="M41" s="1">
        <f t="shared" si="11"/>
        <v>0</v>
      </c>
      <c r="N41" s="1">
        <f t="shared" si="11"/>
        <v>0</v>
      </c>
      <c r="O41" s="1">
        <f t="shared" si="11"/>
        <v>0</v>
      </c>
      <c r="P41" s="25">
        <f t="shared" si="11"/>
        <v>0</v>
      </c>
      <c r="R41" s="27">
        <f t="shared" si="11"/>
        <v>150</v>
      </c>
      <c r="S41" s="1">
        <f t="shared" si="11"/>
        <v>100</v>
      </c>
      <c r="T41" s="1">
        <f t="shared" si="11"/>
        <v>50</v>
      </c>
      <c r="U41" s="1">
        <f t="shared" si="11"/>
        <v>300</v>
      </c>
      <c r="V41" s="1">
        <f t="shared" si="11"/>
        <v>125</v>
      </c>
      <c r="W41" s="1">
        <f t="shared" si="11"/>
        <v>0</v>
      </c>
      <c r="X41" s="3">
        <f>SUM(X4:X23)*25</f>
        <v>575</v>
      </c>
      <c r="Z41" s="2">
        <f t="shared" ref="Z41:AF41" si="12">SUM(Z4:Z23)*25</f>
        <v>0</v>
      </c>
      <c r="AA41" s="1">
        <f t="shared" si="12"/>
        <v>0</v>
      </c>
      <c r="AB41" s="1">
        <f t="shared" si="12"/>
        <v>0</v>
      </c>
      <c r="AC41" s="1">
        <f t="shared" si="12"/>
        <v>0</v>
      </c>
      <c r="AD41" s="1">
        <f t="shared" si="12"/>
        <v>0</v>
      </c>
      <c r="AE41" s="1">
        <f t="shared" si="12"/>
        <v>0</v>
      </c>
      <c r="AF41" s="3">
        <f t="shared" si="12"/>
        <v>0</v>
      </c>
      <c r="AH41" s="2">
        <f t="shared" ref="AH41:AO41" si="13">SUM(AH4:AH23)*25</f>
        <v>0</v>
      </c>
      <c r="AI41" s="1">
        <f t="shared" si="13"/>
        <v>0</v>
      </c>
      <c r="AJ41" s="1">
        <f t="shared" si="13"/>
        <v>0</v>
      </c>
      <c r="AK41" s="1">
        <f t="shared" si="13"/>
        <v>0</v>
      </c>
      <c r="AL41" s="1">
        <f t="shared" si="13"/>
        <v>0</v>
      </c>
      <c r="AM41" s="1">
        <f t="shared" si="13"/>
        <v>0</v>
      </c>
      <c r="AN41" s="1">
        <f t="shared" si="13"/>
        <v>0</v>
      </c>
      <c r="AO41" s="3">
        <f t="shared" si="13"/>
        <v>0</v>
      </c>
    </row>
    <row r="42" spans="1:41" ht="24.75" customHeight="1" x14ac:dyDescent="0.25">
      <c r="H42" t="s">
        <v>47</v>
      </c>
      <c r="I42" s="38"/>
      <c r="J42" s="1">
        <f>SUM(J24:J39)*20</f>
        <v>100</v>
      </c>
      <c r="K42" s="1">
        <f>SUM(K24:K39)*20</f>
        <v>0</v>
      </c>
      <c r="L42" s="1">
        <f>SUM(L24:L39)*20</f>
        <v>0</v>
      </c>
      <c r="M42" s="1">
        <f t="shared" ref="M42:X42" si="14">SUM(M24:M39)*20</f>
        <v>0</v>
      </c>
      <c r="N42" s="1">
        <f t="shared" si="14"/>
        <v>0</v>
      </c>
      <c r="O42" s="1">
        <f t="shared" si="14"/>
        <v>0</v>
      </c>
      <c r="P42" s="25">
        <f t="shared" si="14"/>
        <v>0</v>
      </c>
      <c r="R42" s="27">
        <f t="shared" si="14"/>
        <v>20</v>
      </c>
      <c r="S42" s="1">
        <f t="shared" si="14"/>
        <v>0</v>
      </c>
      <c r="T42" s="1">
        <f t="shared" si="14"/>
        <v>0</v>
      </c>
      <c r="U42" s="1">
        <f t="shared" si="14"/>
        <v>0</v>
      </c>
      <c r="V42" s="1">
        <f t="shared" si="14"/>
        <v>0</v>
      </c>
      <c r="W42" s="1">
        <f t="shared" si="14"/>
        <v>0</v>
      </c>
      <c r="X42" s="3">
        <f t="shared" si="14"/>
        <v>0</v>
      </c>
      <c r="Z42" s="2">
        <f t="shared" ref="Z42:AF42" si="15">SUM(Z24:Z39)*20</f>
        <v>340</v>
      </c>
      <c r="AA42" s="1">
        <f t="shared" si="15"/>
        <v>660</v>
      </c>
      <c r="AB42" s="1">
        <f t="shared" si="15"/>
        <v>0</v>
      </c>
      <c r="AC42" s="1">
        <f t="shared" si="15"/>
        <v>0</v>
      </c>
      <c r="AD42" s="1">
        <f t="shared" si="15"/>
        <v>0</v>
      </c>
      <c r="AE42" s="1">
        <f t="shared" si="15"/>
        <v>0</v>
      </c>
      <c r="AF42" s="3">
        <f t="shared" si="15"/>
        <v>660</v>
      </c>
      <c r="AH42" s="2">
        <f t="shared" ref="AH42:AO42" si="16">SUM(AH24:AH39)*20</f>
        <v>400</v>
      </c>
      <c r="AI42" s="1">
        <f t="shared" si="16"/>
        <v>60</v>
      </c>
      <c r="AJ42" s="1">
        <f t="shared" si="16"/>
        <v>80</v>
      </c>
      <c r="AK42" s="1">
        <f t="shared" si="16"/>
        <v>380</v>
      </c>
      <c r="AL42" s="1">
        <f t="shared" si="16"/>
        <v>0</v>
      </c>
      <c r="AM42" s="1">
        <f t="shared" si="16"/>
        <v>0</v>
      </c>
      <c r="AN42" s="1">
        <f t="shared" si="16"/>
        <v>0</v>
      </c>
      <c r="AO42" s="3">
        <f t="shared" si="16"/>
        <v>520</v>
      </c>
    </row>
    <row r="43" spans="1:41" ht="24.75" customHeight="1" thickBot="1" x14ac:dyDescent="0.3">
      <c r="I43" s="144" t="s">
        <v>35</v>
      </c>
      <c r="J43" s="145"/>
      <c r="K43" s="145">
        <f>SUM(J41:N42)</f>
        <v>3175</v>
      </c>
      <c r="L43" s="145"/>
      <c r="M43" s="145"/>
      <c r="N43" s="145"/>
      <c r="O43" s="145"/>
      <c r="P43" s="86"/>
      <c r="Q43" s="32"/>
      <c r="R43" s="144">
        <f>SUM(R41:W42)</f>
        <v>745</v>
      </c>
      <c r="S43" s="145"/>
      <c r="T43" s="145"/>
      <c r="U43" s="145"/>
      <c r="V43" s="145"/>
      <c r="W43" s="145"/>
      <c r="X43" s="85"/>
      <c r="Y43" s="32"/>
      <c r="Z43" s="144">
        <f>SUM(Z41:AE42)</f>
        <v>1000</v>
      </c>
      <c r="AA43" s="145"/>
      <c r="AB43" s="145"/>
      <c r="AC43" s="145"/>
      <c r="AD43" s="145"/>
      <c r="AE43" s="145"/>
      <c r="AF43" s="85"/>
      <c r="AG43" s="32"/>
      <c r="AH43" s="144">
        <f>SUM(AH41:AN42)</f>
        <v>920</v>
      </c>
      <c r="AI43" s="145"/>
      <c r="AJ43" s="145"/>
      <c r="AK43" s="145"/>
      <c r="AL43" s="145"/>
      <c r="AM43" s="145"/>
      <c r="AN43" s="145"/>
      <c r="AO43" s="96">
        <f>SUM(K43:AN43)</f>
        <v>5840</v>
      </c>
    </row>
    <row r="44" spans="1:41" ht="24.75" customHeight="1" x14ac:dyDescent="0.25">
      <c r="R44">
        <v>5.8</v>
      </c>
      <c r="S44">
        <v>6.2</v>
      </c>
      <c r="Z44">
        <v>10</v>
      </c>
      <c r="AI44">
        <v>5.9</v>
      </c>
      <c r="AJ44">
        <v>14</v>
      </c>
    </row>
  </sheetData>
  <autoFilter ref="J1:AO44" xr:uid="{F8CA6F40-0EAA-4AF9-9803-415709AD0E2F}"/>
  <mergeCells count="9">
    <mergeCell ref="J2:O2"/>
    <mergeCell ref="R2:W2"/>
    <mergeCell ref="Z2:AE2"/>
    <mergeCell ref="AH2:AN2"/>
    <mergeCell ref="I43:J43"/>
    <mergeCell ref="K43:O43"/>
    <mergeCell ref="R43:W43"/>
    <mergeCell ref="Z43:AE43"/>
    <mergeCell ref="AH43:AN43"/>
  </mergeCells>
  <conditionalFormatting sqref="J4:O39 R4:W39 AH4:AN39">
    <cfRule type="expression" dxfId="13" priority="2">
      <formula>MOD(ROW(),2)</formula>
    </cfRule>
  </conditionalFormatting>
  <conditionalFormatting sqref="Z4:AE39">
    <cfRule type="expression" dxfId="12" priority="1">
      <formula>MOD(ROW(),2)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A6F40-0EAA-4AF9-9803-415709AD0E2F}">
  <dimension ref="A1:AO44"/>
  <sheetViews>
    <sheetView showGridLines="0" topLeftCell="B1" zoomScale="60" zoomScaleNormal="60" workbookViewId="0">
      <selection activeCell="AJ17" sqref="AJ17"/>
    </sheetView>
  </sheetViews>
  <sheetFormatPr defaultRowHeight="15" x14ac:dyDescent="0.25"/>
  <cols>
    <col min="1" max="1" width="37.85546875" hidden="1" customWidth="1"/>
    <col min="2" max="2" width="8.42578125" bestFit="1" customWidth="1"/>
    <col min="3" max="3" width="8.140625" bestFit="1" customWidth="1"/>
    <col min="4" max="4" width="11.140625" bestFit="1" customWidth="1"/>
    <col min="5" max="5" width="8.5703125" bestFit="1" customWidth="1"/>
    <col min="6" max="6" width="13.7109375" bestFit="1" customWidth="1"/>
    <col min="7" max="8" width="9.42578125" bestFit="1" customWidth="1"/>
    <col min="9" max="9" width="6.85546875" style="32" customWidth="1"/>
    <col min="10" max="10" width="13" customWidth="1"/>
    <col min="11" max="23" width="9.42578125" customWidth="1"/>
    <col min="24" max="24" width="6.28515625" bestFit="1" customWidth="1"/>
    <col min="25" max="25" width="8.7109375" customWidth="1"/>
    <col min="26" max="31" width="11.42578125" customWidth="1"/>
    <col min="32" max="32" width="7.5703125" customWidth="1"/>
    <col min="33" max="33" width="7.7109375" customWidth="1"/>
    <col min="34" max="41" width="9.42578125" customWidth="1"/>
  </cols>
  <sheetData>
    <row r="1" spans="1:41" ht="15.75" thickBot="1" x14ac:dyDescent="0.3"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1" ht="15.75" thickBot="1" x14ac:dyDescent="0.3">
      <c r="B2" s="32"/>
      <c r="J2" s="135" t="s">
        <v>37</v>
      </c>
      <c r="K2" s="136"/>
      <c r="L2" s="136"/>
      <c r="M2" s="137"/>
      <c r="N2" s="137"/>
      <c r="O2" s="138"/>
      <c r="P2" s="32"/>
      <c r="Q2" s="32"/>
      <c r="R2" s="135" t="s">
        <v>38</v>
      </c>
      <c r="S2" s="136"/>
      <c r="T2" s="136"/>
      <c r="U2" s="136"/>
      <c r="V2" s="137"/>
      <c r="W2" s="138"/>
      <c r="X2" s="32"/>
      <c r="Y2" s="32"/>
      <c r="Z2" s="139" t="s">
        <v>43</v>
      </c>
      <c r="AA2" s="140"/>
      <c r="AB2" s="140"/>
      <c r="AC2" s="140"/>
      <c r="AD2" s="141"/>
      <c r="AE2" s="142"/>
      <c r="AF2" s="32"/>
      <c r="AG2" s="32"/>
      <c r="AH2" s="135" t="s">
        <v>39</v>
      </c>
      <c r="AI2" s="143"/>
      <c r="AJ2" s="136"/>
      <c r="AK2" s="136"/>
      <c r="AL2" s="137"/>
      <c r="AM2" s="137"/>
      <c r="AN2" s="138"/>
    </row>
    <row r="3" spans="1:41" ht="51" customHeight="1" x14ac:dyDescent="0.3">
      <c r="B3" s="32"/>
      <c r="J3" s="105" t="s">
        <v>36</v>
      </c>
      <c r="K3" s="102"/>
      <c r="L3" s="102"/>
      <c r="M3" s="103"/>
      <c r="N3" s="103"/>
      <c r="O3" s="104" t="s">
        <v>45</v>
      </c>
      <c r="P3" s="55"/>
      <c r="Q3" s="55"/>
      <c r="R3" s="101" t="s">
        <v>36</v>
      </c>
      <c r="S3" s="102" t="s">
        <v>48</v>
      </c>
      <c r="T3" s="102" t="s">
        <v>51</v>
      </c>
      <c r="U3" s="102"/>
      <c r="V3" s="106"/>
      <c r="W3" s="107"/>
      <c r="X3" s="55"/>
      <c r="Y3" s="55"/>
      <c r="Z3" s="117" t="s">
        <v>44</v>
      </c>
      <c r="AA3" s="118" t="s">
        <v>52</v>
      </c>
      <c r="AB3" s="118"/>
      <c r="AC3" s="118"/>
      <c r="AD3" s="119"/>
      <c r="AE3" s="120"/>
      <c r="AF3" s="55"/>
      <c r="AG3" s="55"/>
      <c r="AH3" s="121" t="s">
        <v>36</v>
      </c>
      <c r="AI3" s="116" t="s">
        <v>50</v>
      </c>
      <c r="AJ3" s="103" t="s">
        <v>51</v>
      </c>
      <c r="AK3" s="102" t="s">
        <v>49</v>
      </c>
      <c r="AL3" s="103"/>
      <c r="AM3" s="103"/>
      <c r="AN3" s="104"/>
    </row>
    <row r="4" spans="1:41" ht="21.75" customHeight="1" x14ac:dyDescent="0.25">
      <c r="A4" s="7" t="s">
        <v>30</v>
      </c>
      <c r="B4" s="33">
        <v>8601</v>
      </c>
      <c r="C4" s="7">
        <v>7873</v>
      </c>
      <c r="D4" s="7">
        <v>7884</v>
      </c>
      <c r="E4" s="17">
        <f>D4-C4</f>
        <v>11</v>
      </c>
      <c r="F4" s="7">
        <v>116138</v>
      </c>
      <c r="G4" s="7">
        <v>116339</v>
      </c>
      <c r="H4" s="17">
        <f t="shared" ref="H4:H39" si="0">+G4-F4</f>
        <v>201</v>
      </c>
      <c r="I4" s="37">
        <f t="shared" ref="I4:I39" si="1">SUM(J4:O4,R4:W4,AH4:AN4,Z4:AE4)</f>
        <v>13</v>
      </c>
      <c r="J4" s="56">
        <v>9</v>
      </c>
      <c r="K4" s="57"/>
      <c r="L4" s="57"/>
      <c r="M4" s="58"/>
      <c r="N4" s="58"/>
      <c r="O4" s="59"/>
      <c r="P4" s="60">
        <f t="shared" ref="P4:P39" si="2">SUM(K4:N4)</f>
        <v>0</v>
      </c>
      <c r="Q4" s="87"/>
      <c r="R4" s="62"/>
      <c r="S4" s="68"/>
      <c r="T4" s="68"/>
      <c r="U4" s="68"/>
      <c r="V4" s="69"/>
      <c r="W4" s="76"/>
      <c r="X4" s="61">
        <f>SUM(S4:W4)</f>
        <v>0</v>
      </c>
      <c r="Y4" s="87"/>
      <c r="Z4" s="56">
        <v>1</v>
      </c>
      <c r="AA4" s="57">
        <v>3</v>
      </c>
      <c r="AB4" s="57"/>
      <c r="AC4" s="57"/>
      <c r="AD4" s="58"/>
      <c r="AE4" s="59"/>
      <c r="AF4" s="61">
        <f>SUM(AA4:AE4)</f>
        <v>3</v>
      </c>
      <c r="AG4" s="87"/>
      <c r="AH4" s="56"/>
      <c r="AI4" s="57"/>
      <c r="AJ4" s="58"/>
      <c r="AK4" s="57"/>
      <c r="AL4" s="58"/>
      <c r="AM4" s="58"/>
      <c r="AN4" s="59"/>
      <c r="AO4" s="40">
        <f>SUM(AI4:AN4)</f>
        <v>0</v>
      </c>
    </row>
    <row r="5" spans="1:41" ht="21.75" customHeight="1" x14ac:dyDescent="0.25">
      <c r="A5" s="7" t="s">
        <v>31</v>
      </c>
      <c r="B5" s="33">
        <v>8602</v>
      </c>
      <c r="C5" s="7">
        <v>5877</v>
      </c>
      <c r="D5" s="7">
        <v>5888</v>
      </c>
      <c r="E5" s="17">
        <v>11</v>
      </c>
      <c r="F5" s="7">
        <v>57280</v>
      </c>
      <c r="G5" s="7">
        <v>57398</v>
      </c>
      <c r="H5" s="17">
        <f t="shared" si="0"/>
        <v>118</v>
      </c>
      <c r="I5" s="37">
        <f t="shared" si="1"/>
        <v>12</v>
      </c>
      <c r="J5" s="56">
        <v>12</v>
      </c>
      <c r="K5" s="57"/>
      <c r="L5" s="57"/>
      <c r="M5" s="58"/>
      <c r="N5" s="58"/>
      <c r="O5" s="59"/>
      <c r="P5" s="60">
        <f t="shared" si="2"/>
        <v>0</v>
      </c>
      <c r="Q5" s="87"/>
      <c r="R5" s="62"/>
      <c r="S5" s="68"/>
      <c r="T5" s="68"/>
      <c r="U5" s="68"/>
      <c r="V5" s="69"/>
      <c r="W5" s="76"/>
      <c r="X5" s="61">
        <f t="shared" ref="X5:X39" si="3">SUM(S5:W5)</f>
        <v>0</v>
      </c>
      <c r="Y5" s="87"/>
      <c r="Z5" s="56"/>
      <c r="AA5" s="57"/>
      <c r="AB5" s="57"/>
      <c r="AC5" s="57"/>
      <c r="AD5" s="58"/>
      <c r="AE5" s="59"/>
      <c r="AF5" s="61">
        <f t="shared" ref="AF5:AF39" si="4">SUM(AA5:AE5)</f>
        <v>0</v>
      </c>
      <c r="AG5" s="87"/>
      <c r="AH5" s="56"/>
      <c r="AI5" s="57"/>
      <c r="AJ5" s="58"/>
      <c r="AK5" s="57"/>
      <c r="AL5" s="58"/>
      <c r="AM5" s="58"/>
      <c r="AN5" s="59"/>
      <c r="AO5" s="40">
        <f t="shared" ref="AO5:AO39" si="5">SUM(AI5:AN5)</f>
        <v>0</v>
      </c>
    </row>
    <row r="6" spans="1:41" ht="21.75" customHeight="1" x14ac:dyDescent="0.25">
      <c r="A6" s="7" t="s">
        <v>32</v>
      </c>
      <c r="B6" s="33">
        <v>8603</v>
      </c>
      <c r="C6" s="7">
        <v>7214</v>
      </c>
      <c r="D6" s="7">
        <v>7220</v>
      </c>
      <c r="E6" s="17">
        <v>6</v>
      </c>
      <c r="F6" s="7">
        <v>90705</v>
      </c>
      <c r="G6" s="7">
        <v>90735</v>
      </c>
      <c r="H6" s="17">
        <f t="shared" si="0"/>
        <v>30</v>
      </c>
      <c r="I6" s="37">
        <f t="shared" si="1"/>
        <v>2</v>
      </c>
      <c r="J6" s="56">
        <v>2</v>
      </c>
      <c r="K6" s="57"/>
      <c r="L6" s="57"/>
      <c r="M6" s="58"/>
      <c r="N6" s="58"/>
      <c r="O6" s="59"/>
      <c r="P6" s="60">
        <f t="shared" si="2"/>
        <v>0</v>
      </c>
      <c r="Q6" s="87"/>
      <c r="R6" s="62"/>
      <c r="S6" s="68"/>
      <c r="T6" s="68"/>
      <c r="U6" s="68"/>
      <c r="V6" s="69"/>
      <c r="W6" s="76"/>
      <c r="X6" s="61">
        <f t="shared" si="3"/>
        <v>0</v>
      </c>
      <c r="Y6" s="87"/>
      <c r="Z6" s="56"/>
      <c r="AA6" s="57"/>
      <c r="AB6" s="57"/>
      <c r="AC6" s="57"/>
      <c r="AD6" s="58"/>
      <c r="AE6" s="59"/>
      <c r="AF6" s="61">
        <f t="shared" si="4"/>
        <v>0</v>
      </c>
      <c r="AG6" s="87"/>
      <c r="AH6" s="56"/>
      <c r="AI6" s="57"/>
      <c r="AJ6" s="58"/>
      <c r="AK6" s="57"/>
      <c r="AL6" s="58"/>
      <c r="AM6" s="58"/>
      <c r="AN6" s="59"/>
      <c r="AO6" s="40">
        <f t="shared" si="5"/>
        <v>0</v>
      </c>
    </row>
    <row r="7" spans="1:41" ht="21.75" customHeight="1" x14ac:dyDescent="0.25">
      <c r="A7" s="7" t="s">
        <v>0</v>
      </c>
      <c r="B7" s="33">
        <v>8604</v>
      </c>
      <c r="C7" s="7">
        <v>9064</v>
      </c>
      <c r="D7" s="7">
        <v>9075</v>
      </c>
      <c r="E7" s="17">
        <v>11</v>
      </c>
      <c r="F7" s="7">
        <v>93987</v>
      </c>
      <c r="G7" s="7">
        <v>94157</v>
      </c>
      <c r="H7" s="17">
        <f t="shared" si="0"/>
        <v>170</v>
      </c>
      <c r="I7" s="37">
        <f t="shared" si="1"/>
        <v>11</v>
      </c>
      <c r="J7" s="56">
        <v>11</v>
      </c>
      <c r="K7" s="57"/>
      <c r="L7" s="57"/>
      <c r="M7" s="58"/>
      <c r="N7" s="58"/>
      <c r="O7" s="59"/>
      <c r="P7" s="60">
        <f t="shared" si="2"/>
        <v>0</v>
      </c>
      <c r="Q7" s="87"/>
      <c r="R7" s="62"/>
      <c r="S7" s="68"/>
      <c r="T7" s="68"/>
      <c r="U7" s="68"/>
      <c r="V7" s="69"/>
      <c r="W7" s="76"/>
      <c r="X7" s="61">
        <f t="shared" si="3"/>
        <v>0</v>
      </c>
      <c r="Y7" s="87"/>
      <c r="Z7" s="56"/>
      <c r="AA7" s="57"/>
      <c r="AB7" s="57"/>
      <c r="AC7" s="57"/>
      <c r="AD7" s="58"/>
      <c r="AE7" s="59"/>
      <c r="AF7" s="61">
        <f t="shared" si="4"/>
        <v>0</v>
      </c>
      <c r="AG7" s="87"/>
      <c r="AH7" s="56"/>
      <c r="AI7" s="57"/>
      <c r="AJ7" s="58"/>
      <c r="AK7" s="57"/>
      <c r="AL7" s="58"/>
      <c r="AM7" s="58"/>
      <c r="AN7" s="59"/>
      <c r="AO7" s="40">
        <f t="shared" si="5"/>
        <v>0</v>
      </c>
    </row>
    <row r="8" spans="1:41" ht="21.75" customHeight="1" x14ac:dyDescent="0.25">
      <c r="A8" s="7" t="s">
        <v>1</v>
      </c>
      <c r="B8" s="33">
        <v>8605</v>
      </c>
      <c r="C8" s="7"/>
      <c r="D8" s="7"/>
      <c r="E8" s="17">
        <f t="shared" ref="E8:E29" si="6">D8-C8</f>
        <v>0</v>
      </c>
      <c r="F8" s="7"/>
      <c r="G8" s="7"/>
      <c r="H8" s="17">
        <f t="shared" si="0"/>
        <v>0</v>
      </c>
      <c r="I8" s="37">
        <f t="shared" si="1"/>
        <v>0</v>
      </c>
      <c r="J8" s="56"/>
      <c r="K8" s="57"/>
      <c r="L8" s="57"/>
      <c r="M8" s="58"/>
      <c r="N8" s="58"/>
      <c r="O8" s="59"/>
      <c r="P8" s="60">
        <f t="shared" si="2"/>
        <v>0</v>
      </c>
      <c r="Q8" s="87"/>
      <c r="R8" s="62"/>
      <c r="S8" s="68"/>
      <c r="T8" s="68"/>
      <c r="U8" s="68"/>
      <c r="V8" s="69"/>
      <c r="W8" s="76"/>
      <c r="X8" s="61">
        <f t="shared" si="3"/>
        <v>0</v>
      </c>
      <c r="Y8" s="87"/>
      <c r="Z8" s="56"/>
      <c r="AA8" s="57"/>
      <c r="AB8" s="57"/>
      <c r="AC8" s="57"/>
      <c r="AD8" s="58"/>
      <c r="AE8" s="59"/>
      <c r="AF8" s="61">
        <f t="shared" si="4"/>
        <v>0</v>
      </c>
      <c r="AG8" s="87"/>
      <c r="AH8" s="56"/>
      <c r="AI8" s="57"/>
      <c r="AJ8" s="58"/>
      <c r="AK8" s="57"/>
      <c r="AL8" s="58"/>
      <c r="AM8" s="58"/>
      <c r="AN8" s="59"/>
      <c r="AO8" s="40">
        <f t="shared" si="5"/>
        <v>0</v>
      </c>
    </row>
    <row r="9" spans="1:41" ht="21.75" customHeight="1" x14ac:dyDescent="0.25">
      <c r="A9" s="7" t="s">
        <v>2</v>
      </c>
      <c r="B9" s="33">
        <v>8606</v>
      </c>
      <c r="C9" s="7">
        <v>10159</v>
      </c>
      <c r="D9" s="7">
        <v>10171</v>
      </c>
      <c r="E9" s="17">
        <v>12</v>
      </c>
      <c r="F9" s="7">
        <v>125872</v>
      </c>
      <c r="G9" s="7">
        <v>126035</v>
      </c>
      <c r="H9" s="17">
        <f t="shared" si="0"/>
        <v>163</v>
      </c>
      <c r="I9" s="37">
        <f t="shared" si="1"/>
        <v>16</v>
      </c>
      <c r="J9" s="56">
        <v>16</v>
      </c>
      <c r="K9" s="57"/>
      <c r="L9" s="57"/>
      <c r="M9" s="58"/>
      <c r="N9" s="58"/>
      <c r="O9" s="59"/>
      <c r="P9" s="60">
        <f t="shared" si="2"/>
        <v>0</v>
      </c>
      <c r="Q9" s="87"/>
      <c r="R9" s="62"/>
      <c r="S9" s="68"/>
      <c r="T9" s="68"/>
      <c r="U9" s="68"/>
      <c r="V9" s="69"/>
      <c r="W9" s="76"/>
      <c r="X9" s="61">
        <f t="shared" si="3"/>
        <v>0</v>
      </c>
      <c r="Y9" s="87"/>
      <c r="Z9" s="56"/>
      <c r="AA9" s="57"/>
      <c r="AB9" s="57"/>
      <c r="AC9" s="57"/>
      <c r="AD9" s="58"/>
      <c r="AE9" s="59"/>
      <c r="AF9" s="61">
        <f t="shared" si="4"/>
        <v>0</v>
      </c>
      <c r="AG9" s="87"/>
      <c r="AH9" s="56"/>
      <c r="AI9" s="57"/>
      <c r="AJ9" s="58"/>
      <c r="AK9" s="57"/>
      <c r="AL9" s="58"/>
      <c r="AM9" s="58"/>
      <c r="AN9" s="59"/>
      <c r="AO9" s="40">
        <f t="shared" si="5"/>
        <v>0</v>
      </c>
    </row>
    <row r="10" spans="1:41" ht="21.75" customHeight="1" x14ac:dyDescent="0.25">
      <c r="A10" s="7" t="s">
        <v>3</v>
      </c>
      <c r="B10" s="33">
        <v>8607</v>
      </c>
      <c r="C10" s="7">
        <v>8787</v>
      </c>
      <c r="D10" s="7">
        <v>8794</v>
      </c>
      <c r="E10" s="17">
        <v>7</v>
      </c>
      <c r="F10" s="7">
        <v>84988</v>
      </c>
      <c r="G10" s="7">
        <v>85125</v>
      </c>
      <c r="H10" s="17">
        <f>+G10-F10</f>
        <v>137</v>
      </c>
      <c r="I10" s="37">
        <f t="shared" si="1"/>
        <v>8</v>
      </c>
      <c r="J10" s="56">
        <v>8</v>
      </c>
      <c r="K10" s="57"/>
      <c r="L10" s="57"/>
      <c r="M10" s="58"/>
      <c r="N10" s="58"/>
      <c r="O10" s="59"/>
      <c r="P10" s="60">
        <f t="shared" si="2"/>
        <v>0</v>
      </c>
      <c r="Q10" s="87"/>
      <c r="R10" s="62"/>
      <c r="S10" s="68"/>
      <c r="T10" s="68"/>
      <c r="U10" s="68"/>
      <c r="V10" s="69"/>
      <c r="W10" s="76"/>
      <c r="X10" s="61">
        <f t="shared" si="3"/>
        <v>0</v>
      </c>
      <c r="Y10" s="87"/>
      <c r="Z10" s="56"/>
      <c r="AA10" s="57"/>
      <c r="AB10" s="57"/>
      <c r="AC10" s="57"/>
      <c r="AD10" s="58"/>
      <c r="AE10" s="59"/>
      <c r="AF10" s="61">
        <f t="shared" si="4"/>
        <v>0</v>
      </c>
      <c r="AG10" s="87"/>
      <c r="AH10" s="56"/>
      <c r="AI10" s="57"/>
      <c r="AJ10" s="58"/>
      <c r="AK10" s="57"/>
      <c r="AL10" s="58"/>
      <c r="AM10" s="58"/>
      <c r="AN10" s="59"/>
      <c r="AO10" s="40">
        <f t="shared" si="5"/>
        <v>0</v>
      </c>
    </row>
    <row r="11" spans="1:41" ht="21.75" customHeight="1" x14ac:dyDescent="0.25">
      <c r="A11" s="7" t="s">
        <v>4</v>
      </c>
      <c r="B11" s="33">
        <v>8608</v>
      </c>
      <c r="C11" s="7">
        <v>10155</v>
      </c>
      <c r="D11" s="7">
        <v>10158</v>
      </c>
      <c r="E11" s="17">
        <v>3</v>
      </c>
      <c r="F11" s="7">
        <v>133108</v>
      </c>
      <c r="G11" s="7">
        <v>133163</v>
      </c>
      <c r="H11" s="17">
        <f t="shared" si="0"/>
        <v>55</v>
      </c>
      <c r="I11" s="37">
        <f t="shared" si="1"/>
        <v>4</v>
      </c>
      <c r="J11" s="62">
        <v>4</v>
      </c>
      <c r="K11" s="57"/>
      <c r="L11" s="57"/>
      <c r="M11" s="58"/>
      <c r="N11" s="58"/>
      <c r="O11" s="59"/>
      <c r="P11" s="60">
        <f t="shared" si="2"/>
        <v>0</v>
      </c>
      <c r="Q11" s="87"/>
      <c r="R11" s="62"/>
      <c r="S11" s="68"/>
      <c r="T11" s="68"/>
      <c r="U11" s="68"/>
      <c r="V11" s="69"/>
      <c r="W11" s="76"/>
      <c r="X11" s="61">
        <f t="shared" si="3"/>
        <v>0</v>
      </c>
      <c r="Y11" s="87"/>
      <c r="Z11" s="56"/>
      <c r="AA11" s="57"/>
      <c r="AB11" s="57"/>
      <c r="AC11" s="57"/>
      <c r="AD11" s="58"/>
      <c r="AE11" s="59"/>
      <c r="AF11" s="61">
        <f t="shared" si="4"/>
        <v>0</v>
      </c>
      <c r="AG11" s="87"/>
      <c r="AH11" s="56"/>
      <c r="AI11" s="57"/>
      <c r="AJ11" s="58"/>
      <c r="AK11" s="57"/>
      <c r="AL11" s="58"/>
      <c r="AM11" s="58"/>
      <c r="AN11" s="59"/>
      <c r="AO11" s="40">
        <f t="shared" si="5"/>
        <v>0</v>
      </c>
    </row>
    <row r="12" spans="1:41" ht="21.75" customHeight="1" x14ac:dyDescent="0.25">
      <c r="A12" s="7" t="s">
        <v>5</v>
      </c>
      <c r="B12" s="33">
        <v>8609</v>
      </c>
      <c r="C12" s="7">
        <v>10885</v>
      </c>
      <c r="D12" s="7">
        <v>10896</v>
      </c>
      <c r="E12" s="17">
        <v>11</v>
      </c>
      <c r="F12" s="7">
        <v>142675</v>
      </c>
      <c r="G12" s="7">
        <v>142868</v>
      </c>
      <c r="H12" s="17">
        <f t="shared" si="0"/>
        <v>193</v>
      </c>
      <c r="I12" s="37">
        <f t="shared" si="1"/>
        <v>12</v>
      </c>
      <c r="J12" s="56">
        <v>12</v>
      </c>
      <c r="K12" s="57"/>
      <c r="L12" s="57"/>
      <c r="M12" s="58"/>
      <c r="N12" s="58"/>
      <c r="O12" s="59"/>
      <c r="P12" s="60">
        <f t="shared" si="2"/>
        <v>0</v>
      </c>
      <c r="Q12" s="87"/>
      <c r="R12" s="62"/>
      <c r="S12" s="68"/>
      <c r="T12" s="68"/>
      <c r="U12" s="68"/>
      <c r="V12" s="69"/>
      <c r="W12" s="76"/>
      <c r="X12" s="61">
        <f t="shared" si="3"/>
        <v>0</v>
      </c>
      <c r="Y12" s="87"/>
      <c r="Z12" s="56"/>
      <c r="AA12" s="57"/>
      <c r="AB12" s="57"/>
      <c r="AC12" s="57"/>
      <c r="AD12" s="58"/>
      <c r="AE12" s="59"/>
      <c r="AF12" s="61">
        <f t="shared" si="4"/>
        <v>0</v>
      </c>
      <c r="AG12" s="87"/>
      <c r="AH12" s="56"/>
      <c r="AI12" s="57"/>
      <c r="AJ12" s="58"/>
      <c r="AK12" s="57"/>
      <c r="AL12" s="58"/>
      <c r="AM12" s="58"/>
      <c r="AN12" s="59"/>
      <c r="AO12" s="40">
        <f t="shared" si="5"/>
        <v>0</v>
      </c>
    </row>
    <row r="13" spans="1:41" ht="21.75" customHeight="1" x14ac:dyDescent="0.25">
      <c r="A13" s="7" t="s">
        <v>6</v>
      </c>
      <c r="B13" s="33">
        <v>8610</v>
      </c>
      <c r="C13" s="7">
        <v>6384</v>
      </c>
      <c r="D13" s="7">
        <v>6395</v>
      </c>
      <c r="E13" s="17">
        <v>11</v>
      </c>
      <c r="F13" s="7">
        <v>26457</v>
      </c>
      <c r="G13" s="7">
        <v>26568</v>
      </c>
      <c r="H13" s="17">
        <f t="shared" si="0"/>
        <v>111</v>
      </c>
      <c r="I13" s="37">
        <f t="shared" si="1"/>
        <v>11</v>
      </c>
      <c r="J13" s="56">
        <v>7</v>
      </c>
      <c r="K13" s="57"/>
      <c r="L13" s="57"/>
      <c r="M13" s="58"/>
      <c r="N13" s="58"/>
      <c r="O13" s="59"/>
      <c r="P13" s="60">
        <f t="shared" si="2"/>
        <v>0</v>
      </c>
      <c r="Q13" s="87"/>
      <c r="R13" s="62">
        <v>3</v>
      </c>
      <c r="S13" s="68">
        <v>1</v>
      </c>
      <c r="T13" s="68"/>
      <c r="U13" s="68"/>
      <c r="V13" s="69"/>
      <c r="W13" s="76"/>
      <c r="X13" s="61">
        <f t="shared" si="3"/>
        <v>1</v>
      </c>
      <c r="Y13" s="87"/>
      <c r="Z13" s="56"/>
      <c r="AA13" s="57"/>
      <c r="AB13" s="57"/>
      <c r="AC13" s="57"/>
      <c r="AD13" s="58"/>
      <c r="AE13" s="59"/>
      <c r="AF13" s="61">
        <f t="shared" si="4"/>
        <v>0</v>
      </c>
      <c r="AG13" s="87"/>
      <c r="AH13" s="56"/>
      <c r="AI13" s="57"/>
      <c r="AJ13" s="58"/>
      <c r="AK13" s="57"/>
      <c r="AL13" s="58"/>
      <c r="AM13" s="58"/>
      <c r="AN13" s="59"/>
      <c r="AO13" s="40">
        <f t="shared" si="5"/>
        <v>0</v>
      </c>
    </row>
    <row r="14" spans="1:41" ht="21.75" customHeight="1" x14ac:dyDescent="0.25">
      <c r="A14" s="7" t="s">
        <v>7</v>
      </c>
      <c r="B14" s="33">
        <v>8611</v>
      </c>
      <c r="C14" s="7"/>
      <c r="D14" s="7"/>
      <c r="E14" s="17">
        <f t="shared" si="6"/>
        <v>0</v>
      </c>
      <c r="F14" s="7"/>
      <c r="G14" s="7"/>
      <c r="H14" s="17">
        <f t="shared" si="0"/>
        <v>0</v>
      </c>
      <c r="I14" s="37">
        <f t="shared" si="1"/>
        <v>0</v>
      </c>
      <c r="J14" s="56"/>
      <c r="K14" s="57"/>
      <c r="L14" s="57"/>
      <c r="M14" s="58"/>
      <c r="N14" s="58"/>
      <c r="O14" s="59"/>
      <c r="P14" s="60">
        <f t="shared" si="2"/>
        <v>0</v>
      </c>
      <c r="Q14" s="87"/>
      <c r="R14" s="62"/>
      <c r="S14" s="68"/>
      <c r="T14" s="68"/>
      <c r="U14" s="68"/>
      <c r="V14" s="69"/>
      <c r="W14" s="76"/>
      <c r="X14" s="61">
        <f t="shared" si="3"/>
        <v>0</v>
      </c>
      <c r="Y14" s="87"/>
      <c r="Z14" s="56"/>
      <c r="AA14" s="57"/>
      <c r="AB14" s="57"/>
      <c r="AC14" s="57"/>
      <c r="AD14" s="58"/>
      <c r="AE14" s="59"/>
      <c r="AF14" s="61">
        <f t="shared" si="4"/>
        <v>0</v>
      </c>
      <c r="AG14" s="87"/>
      <c r="AH14" s="56"/>
      <c r="AI14" s="57"/>
      <c r="AJ14" s="58"/>
      <c r="AK14" s="57"/>
      <c r="AL14" s="58"/>
      <c r="AM14" s="58"/>
      <c r="AN14" s="59"/>
      <c r="AO14" s="40">
        <f t="shared" si="5"/>
        <v>0</v>
      </c>
    </row>
    <row r="15" spans="1:41" ht="21.75" customHeight="1" x14ac:dyDescent="0.25">
      <c r="A15" s="7" t="s">
        <v>8</v>
      </c>
      <c r="B15" s="33">
        <v>8612</v>
      </c>
      <c r="C15" s="7"/>
      <c r="D15" s="7"/>
      <c r="E15" s="17">
        <f t="shared" si="6"/>
        <v>0</v>
      </c>
      <c r="F15" s="7"/>
      <c r="G15" s="7"/>
      <c r="H15" s="17">
        <f t="shared" si="0"/>
        <v>0</v>
      </c>
      <c r="I15" s="37">
        <f t="shared" si="1"/>
        <v>0</v>
      </c>
      <c r="J15" s="56"/>
      <c r="K15" s="57"/>
      <c r="L15" s="57"/>
      <c r="M15" s="58"/>
      <c r="N15" s="58"/>
      <c r="O15" s="59"/>
      <c r="P15" s="60">
        <f t="shared" si="2"/>
        <v>0</v>
      </c>
      <c r="Q15" s="87"/>
      <c r="R15" s="62"/>
      <c r="S15" s="68"/>
      <c r="T15" s="68"/>
      <c r="U15" s="68"/>
      <c r="V15" s="69"/>
      <c r="W15" s="76"/>
      <c r="X15" s="61">
        <f t="shared" si="3"/>
        <v>0</v>
      </c>
      <c r="Y15" s="87"/>
      <c r="Z15" s="56"/>
      <c r="AA15" s="57"/>
      <c r="AB15" s="57"/>
      <c r="AC15" s="57"/>
      <c r="AD15" s="58"/>
      <c r="AE15" s="59"/>
      <c r="AF15" s="61">
        <f>SUM(AA15:AE15)</f>
        <v>0</v>
      </c>
      <c r="AG15" s="87"/>
      <c r="AH15" s="56"/>
      <c r="AI15" s="57"/>
      <c r="AJ15" s="58"/>
      <c r="AK15" s="57"/>
      <c r="AL15" s="58"/>
      <c r="AM15" s="58"/>
      <c r="AN15" s="59"/>
      <c r="AO15" s="40">
        <f t="shared" si="5"/>
        <v>0</v>
      </c>
    </row>
    <row r="16" spans="1:41" ht="21.75" customHeight="1" x14ac:dyDescent="0.25">
      <c r="A16" s="7" t="s">
        <v>9</v>
      </c>
      <c r="B16" s="33">
        <v>8613</v>
      </c>
      <c r="C16" s="7">
        <v>10708</v>
      </c>
      <c r="D16" s="7">
        <v>10719</v>
      </c>
      <c r="E16" s="17">
        <v>11</v>
      </c>
      <c r="F16" s="7">
        <v>93256</v>
      </c>
      <c r="G16" s="7">
        <v>93368</v>
      </c>
      <c r="H16" s="17">
        <f t="shared" si="0"/>
        <v>112</v>
      </c>
      <c r="I16" s="37">
        <f t="shared" si="1"/>
        <v>11</v>
      </c>
      <c r="J16" s="56">
        <v>11</v>
      </c>
      <c r="K16" s="57"/>
      <c r="L16" s="57"/>
      <c r="M16" s="58"/>
      <c r="N16" s="58"/>
      <c r="O16" s="59"/>
      <c r="P16" s="60">
        <f t="shared" si="2"/>
        <v>0</v>
      </c>
      <c r="Q16" s="87"/>
      <c r="R16" s="62"/>
      <c r="S16" s="68"/>
      <c r="T16" s="68"/>
      <c r="U16" s="68"/>
      <c r="V16" s="69"/>
      <c r="W16" s="76"/>
      <c r="X16" s="61">
        <f t="shared" si="3"/>
        <v>0</v>
      </c>
      <c r="Y16" s="87"/>
      <c r="Z16" s="56"/>
      <c r="AA16" s="57"/>
      <c r="AB16" s="57"/>
      <c r="AC16" s="57"/>
      <c r="AD16" s="58"/>
      <c r="AE16" s="59"/>
      <c r="AF16" s="61">
        <f t="shared" si="4"/>
        <v>0</v>
      </c>
      <c r="AG16" s="87"/>
      <c r="AH16" s="56"/>
      <c r="AI16" s="57"/>
      <c r="AJ16" s="58"/>
      <c r="AK16" s="57"/>
      <c r="AL16" s="58"/>
      <c r="AM16" s="58"/>
      <c r="AN16" s="59"/>
      <c r="AO16" s="40">
        <f t="shared" si="5"/>
        <v>0</v>
      </c>
    </row>
    <row r="17" spans="1:41" ht="21.75" customHeight="1" x14ac:dyDescent="0.25">
      <c r="A17" s="7" t="s">
        <v>10</v>
      </c>
      <c r="B17" s="33">
        <v>8614</v>
      </c>
      <c r="C17" s="7">
        <v>8545</v>
      </c>
      <c r="D17" s="7">
        <v>8556</v>
      </c>
      <c r="E17" s="17">
        <v>11</v>
      </c>
      <c r="F17" s="7">
        <v>117963</v>
      </c>
      <c r="G17" s="7">
        <v>118164</v>
      </c>
      <c r="H17" s="17">
        <f t="shared" si="0"/>
        <v>201</v>
      </c>
      <c r="I17" s="37">
        <f t="shared" si="1"/>
        <v>13</v>
      </c>
      <c r="J17" s="56">
        <v>12</v>
      </c>
      <c r="K17" s="57"/>
      <c r="L17" s="57"/>
      <c r="M17" s="58"/>
      <c r="N17" s="58"/>
      <c r="O17" s="59"/>
      <c r="P17" s="60">
        <f t="shared" si="2"/>
        <v>0</v>
      </c>
      <c r="Q17" s="87"/>
      <c r="R17" s="62">
        <v>1</v>
      </c>
      <c r="S17" s="68"/>
      <c r="T17" s="68"/>
      <c r="U17" s="68"/>
      <c r="V17" s="69"/>
      <c r="W17" s="76"/>
      <c r="X17" s="61">
        <f t="shared" si="3"/>
        <v>0</v>
      </c>
      <c r="Y17" s="87"/>
      <c r="Z17" s="56"/>
      <c r="AA17" s="57"/>
      <c r="AB17" s="57"/>
      <c r="AC17" s="57"/>
      <c r="AD17" s="58"/>
      <c r="AE17" s="59"/>
      <c r="AF17" s="61">
        <f t="shared" si="4"/>
        <v>0</v>
      </c>
      <c r="AG17" s="87"/>
      <c r="AH17" s="56"/>
      <c r="AI17" s="57"/>
      <c r="AJ17" s="57"/>
      <c r="AK17" s="57"/>
      <c r="AL17" s="58"/>
      <c r="AM17" s="58"/>
      <c r="AN17" s="59"/>
      <c r="AO17" s="40">
        <f t="shared" si="5"/>
        <v>0</v>
      </c>
    </row>
    <row r="18" spans="1:41" ht="21.75" customHeight="1" x14ac:dyDescent="0.25">
      <c r="A18" s="7" t="s">
        <v>11</v>
      </c>
      <c r="B18" s="33">
        <v>8615</v>
      </c>
      <c r="C18" s="7"/>
      <c r="D18" s="7"/>
      <c r="E18" s="17">
        <f t="shared" si="6"/>
        <v>0</v>
      </c>
      <c r="F18" s="7"/>
      <c r="G18" s="7"/>
      <c r="H18" s="17">
        <f t="shared" si="0"/>
        <v>0</v>
      </c>
      <c r="I18" s="37">
        <f t="shared" si="1"/>
        <v>0</v>
      </c>
      <c r="J18" s="56"/>
      <c r="K18" s="57"/>
      <c r="L18" s="57"/>
      <c r="M18" s="58"/>
      <c r="N18" s="58"/>
      <c r="O18" s="59"/>
      <c r="P18" s="60">
        <f t="shared" si="2"/>
        <v>0</v>
      </c>
      <c r="Q18" s="87"/>
      <c r="R18" s="62"/>
      <c r="S18" s="68"/>
      <c r="T18" s="68"/>
      <c r="U18" s="68"/>
      <c r="V18" s="69"/>
      <c r="W18" s="76"/>
      <c r="X18" s="61">
        <f t="shared" si="3"/>
        <v>0</v>
      </c>
      <c r="Y18" s="87"/>
      <c r="Z18" s="56"/>
      <c r="AA18" s="57"/>
      <c r="AB18" s="57"/>
      <c r="AC18" s="57"/>
      <c r="AD18" s="58"/>
      <c r="AE18" s="59"/>
      <c r="AF18" s="61">
        <f t="shared" si="4"/>
        <v>0</v>
      </c>
      <c r="AG18" s="87"/>
      <c r="AH18" s="56"/>
      <c r="AI18" s="57"/>
      <c r="AJ18" s="57"/>
      <c r="AK18" s="57"/>
      <c r="AL18" s="58"/>
      <c r="AM18" s="58"/>
      <c r="AN18" s="59"/>
      <c r="AO18" s="40">
        <f t="shared" si="5"/>
        <v>0</v>
      </c>
    </row>
    <row r="19" spans="1:41" ht="21.75" customHeight="1" x14ac:dyDescent="0.25">
      <c r="A19" s="7" t="s">
        <v>12</v>
      </c>
      <c r="B19" s="33">
        <v>8616</v>
      </c>
      <c r="C19" s="7">
        <v>9982</v>
      </c>
      <c r="D19" s="7"/>
      <c r="E19" s="17">
        <f t="shared" si="6"/>
        <v>-9982</v>
      </c>
      <c r="F19" s="7">
        <f>+E19+13</f>
        <v>-9969</v>
      </c>
      <c r="G19" s="7"/>
      <c r="H19" s="17">
        <f t="shared" si="0"/>
        <v>9969</v>
      </c>
      <c r="I19" s="37">
        <f t="shared" si="1"/>
        <v>0</v>
      </c>
      <c r="J19" s="56"/>
      <c r="K19" s="57"/>
      <c r="L19" s="57"/>
      <c r="M19" s="58"/>
      <c r="N19" s="58"/>
      <c r="O19" s="59"/>
      <c r="P19" s="60">
        <f t="shared" si="2"/>
        <v>0</v>
      </c>
      <c r="Q19" s="87"/>
      <c r="R19" s="62"/>
      <c r="S19" s="68"/>
      <c r="T19" s="68"/>
      <c r="U19" s="68"/>
      <c r="V19" s="69"/>
      <c r="W19" s="76"/>
      <c r="X19" s="61">
        <f t="shared" si="3"/>
        <v>0</v>
      </c>
      <c r="Y19" s="87"/>
      <c r="Z19" s="56"/>
      <c r="AA19" s="57"/>
      <c r="AB19" s="57"/>
      <c r="AC19" s="57"/>
      <c r="AD19" s="58"/>
      <c r="AE19" s="59"/>
      <c r="AF19" s="61">
        <f t="shared" si="4"/>
        <v>0</v>
      </c>
      <c r="AG19" s="87"/>
      <c r="AH19" s="56"/>
      <c r="AI19" s="57"/>
      <c r="AJ19" s="57"/>
      <c r="AK19" s="57"/>
      <c r="AL19" s="58"/>
      <c r="AM19" s="58"/>
      <c r="AN19" s="59"/>
      <c r="AO19" s="40">
        <f t="shared" si="5"/>
        <v>0</v>
      </c>
    </row>
    <row r="20" spans="1:41" ht="21.75" customHeight="1" x14ac:dyDescent="0.25">
      <c r="A20" s="7" t="s">
        <v>13</v>
      </c>
      <c r="B20" s="33">
        <v>8617</v>
      </c>
      <c r="C20" s="7">
        <v>9099</v>
      </c>
      <c r="D20" s="7">
        <v>9108</v>
      </c>
      <c r="E20" s="17">
        <v>9</v>
      </c>
      <c r="F20" s="7">
        <v>110970</v>
      </c>
      <c r="G20" s="7">
        <v>111112</v>
      </c>
      <c r="H20" s="17">
        <f t="shared" si="0"/>
        <v>142</v>
      </c>
      <c r="I20" s="37">
        <f t="shared" si="1"/>
        <v>8</v>
      </c>
      <c r="J20" s="56">
        <v>8</v>
      </c>
      <c r="K20" s="57"/>
      <c r="L20" s="57"/>
      <c r="M20" s="58"/>
      <c r="N20" s="58"/>
      <c r="O20" s="59"/>
      <c r="P20" s="60">
        <f t="shared" si="2"/>
        <v>0</v>
      </c>
      <c r="Q20" s="87"/>
      <c r="R20" s="62"/>
      <c r="S20" s="68"/>
      <c r="T20" s="68"/>
      <c r="U20" s="68"/>
      <c r="V20" s="69"/>
      <c r="W20" s="76"/>
      <c r="X20" s="61">
        <f t="shared" si="3"/>
        <v>0</v>
      </c>
      <c r="Y20" s="87"/>
      <c r="Z20" s="56"/>
      <c r="AA20" s="57"/>
      <c r="AB20" s="57"/>
      <c r="AC20" s="57"/>
      <c r="AD20" s="58"/>
      <c r="AE20" s="59"/>
      <c r="AF20" s="61">
        <f t="shared" si="4"/>
        <v>0</v>
      </c>
      <c r="AG20" s="87"/>
      <c r="AH20" s="56"/>
      <c r="AI20" s="57"/>
      <c r="AJ20" s="57"/>
      <c r="AK20" s="57"/>
      <c r="AL20" s="58"/>
      <c r="AM20" s="58"/>
      <c r="AN20" s="59"/>
      <c r="AO20" s="40">
        <f t="shared" si="5"/>
        <v>0</v>
      </c>
    </row>
    <row r="21" spans="1:41" ht="21.75" customHeight="1" x14ac:dyDescent="0.25">
      <c r="A21" s="7" t="s">
        <v>14</v>
      </c>
      <c r="B21" s="33">
        <v>8618</v>
      </c>
      <c r="C21" s="7"/>
      <c r="D21" s="7"/>
      <c r="E21" s="17">
        <f t="shared" si="6"/>
        <v>0</v>
      </c>
      <c r="F21" s="7"/>
      <c r="G21" s="7"/>
      <c r="H21" s="17">
        <f t="shared" si="0"/>
        <v>0</v>
      </c>
      <c r="I21" s="37">
        <f t="shared" si="1"/>
        <v>0</v>
      </c>
      <c r="J21" s="56"/>
      <c r="K21" s="57"/>
      <c r="L21" s="57"/>
      <c r="M21" s="58"/>
      <c r="N21" s="58"/>
      <c r="O21" s="59"/>
      <c r="P21" s="60">
        <f t="shared" si="2"/>
        <v>0</v>
      </c>
      <c r="Q21" s="87"/>
      <c r="R21" s="62"/>
      <c r="S21" s="68"/>
      <c r="T21" s="68"/>
      <c r="U21" s="68"/>
      <c r="V21" s="69"/>
      <c r="W21" s="76"/>
      <c r="X21" s="61">
        <f t="shared" si="3"/>
        <v>0</v>
      </c>
      <c r="Y21" s="87"/>
      <c r="Z21" s="56"/>
      <c r="AA21" s="57"/>
      <c r="AB21" s="57"/>
      <c r="AC21" s="57"/>
      <c r="AD21" s="58"/>
      <c r="AE21" s="59"/>
      <c r="AF21" s="61">
        <f t="shared" si="4"/>
        <v>0</v>
      </c>
      <c r="AG21" s="87"/>
      <c r="AH21" s="56"/>
      <c r="AI21" s="57"/>
      <c r="AJ21" s="57"/>
      <c r="AK21" s="57"/>
      <c r="AL21" s="58"/>
      <c r="AM21" s="58"/>
      <c r="AN21" s="59"/>
      <c r="AO21" s="40">
        <f t="shared" si="5"/>
        <v>0</v>
      </c>
    </row>
    <row r="22" spans="1:41" ht="21.75" customHeight="1" x14ac:dyDescent="0.25">
      <c r="A22" s="7" t="s">
        <v>15</v>
      </c>
      <c r="B22" s="33">
        <v>8619</v>
      </c>
      <c r="C22" s="7">
        <v>10378</v>
      </c>
      <c r="D22" s="7">
        <v>10389</v>
      </c>
      <c r="E22" s="17">
        <v>11</v>
      </c>
      <c r="F22" s="7">
        <v>113449</v>
      </c>
      <c r="G22" s="7">
        <v>113625</v>
      </c>
      <c r="H22" s="17">
        <f t="shared" si="0"/>
        <v>176</v>
      </c>
      <c r="I22" s="37">
        <f t="shared" si="1"/>
        <v>14</v>
      </c>
      <c r="J22" s="56">
        <v>14</v>
      </c>
      <c r="K22" s="57"/>
      <c r="L22" s="57"/>
      <c r="M22" s="58"/>
      <c r="N22" s="58"/>
      <c r="O22" s="59"/>
      <c r="P22" s="60">
        <f t="shared" si="2"/>
        <v>0</v>
      </c>
      <c r="Q22" s="87"/>
      <c r="R22" s="62"/>
      <c r="S22" s="68"/>
      <c r="T22" s="68"/>
      <c r="U22" s="68"/>
      <c r="V22" s="69"/>
      <c r="W22" s="76"/>
      <c r="X22" s="61">
        <f t="shared" si="3"/>
        <v>0</v>
      </c>
      <c r="Y22" s="87"/>
      <c r="Z22" s="56"/>
      <c r="AA22" s="57"/>
      <c r="AB22" s="57"/>
      <c r="AC22" s="57"/>
      <c r="AD22" s="58"/>
      <c r="AE22" s="59"/>
      <c r="AF22" s="61">
        <f t="shared" si="4"/>
        <v>0</v>
      </c>
      <c r="AG22" s="87"/>
      <c r="AH22" s="56"/>
      <c r="AI22" s="57"/>
      <c r="AJ22" s="57"/>
      <c r="AK22" s="57"/>
      <c r="AL22" s="58"/>
      <c r="AM22" s="58"/>
      <c r="AN22" s="59"/>
      <c r="AO22" s="40">
        <f t="shared" si="5"/>
        <v>0</v>
      </c>
    </row>
    <row r="23" spans="1:41" ht="21.75" customHeight="1" x14ac:dyDescent="0.25">
      <c r="A23" s="7" t="s">
        <v>16</v>
      </c>
      <c r="B23" s="33">
        <v>8620</v>
      </c>
      <c r="C23" s="7">
        <v>10288</v>
      </c>
      <c r="D23" s="7">
        <v>10292</v>
      </c>
      <c r="E23" s="17">
        <v>4</v>
      </c>
      <c r="F23" s="7">
        <v>139499</v>
      </c>
      <c r="G23" s="7">
        <v>139513</v>
      </c>
      <c r="H23" s="17">
        <f t="shared" si="0"/>
        <v>14</v>
      </c>
      <c r="I23" s="37">
        <f t="shared" si="1"/>
        <v>1</v>
      </c>
      <c r="J23" s="56">
        <v>1</v>
      </c>
      <c r="K23" s="57"/>
      <c r="L23" s="57"/>
      <c r="M23" s="58"/>
      <c r="N23" s="58"/>
      <c r="O23" s="59"/>
      <c r="P23" s="60">
        <f t="shared" si="2"/>
        <v>0</v>
      </c>
      <c r="Q23" s="87"/>
      <c r="R23" s="62"/>
      <c r="S23" s="68"/>
      <c r="T23" s="68"/>
      <c r="U23" s="68"/>
      <c r="V23" s="69"/>
      <c r="W23" s="76"/>
      <c r="X23" s="61">
        <f t="shared" si="3"/>
        <v>0</v>
      </c>
      <c r="Y23" s="87"/>
      <c r="Z23" s="56"/>
      <c r="AA23" s="57"/>
      <c r="AB23" s="57"/>
      <c r="AC23" s="57"/>
      <c r="AD23" s="58"/>
      <c r="AE23" s="59"/>
      <c r="AF23" s="61">
        <f t="shared" si="4"/>
        <v>0</v>
      </c>
      <c r="AG23" s="87"/>
      <c r="AH23" s="56"/>
      <c r="AI23" s="57"/>
      <c r="AJ23" s="57"/>
      <c r="AK23" s="57"/>
      <c r="AL23" s="58"/>
      <c r="AM23" s="58"/>
      <c r="AN23" s="59"/>
      <c r="AO23" s="40">
        <f t="shared" si="5"/>
        <v>0</v>
      </c>
    </row>
    <row r="24" spans="1:41" ht="21.75" customHeight="1" x14ac:dyDescent="0.25">
      <c r="A24" s="7" t="s">
        <v>17</v>
      </c>
      <c r="B24" s="33">
        <v>8621</v>
      </c>
      <c r="C24" s="7"/>
      <c r="D24" s="7"/>
      <c r="E24" s="17">
        <f t="shared" si="6"/>
        <v>0</v>
      </c>
      <c r="F24" s="7"/>
      <c r="G24" s="7"/>
      <c r="H24" s="17">
        <f t="shared" si="0"/>
        <v>0</v>
      </c>
      <c r="I24" s="37">
        <f t="shared" si="1"/>
        <v>0</v>
      </c>
      <c r="J24" s="56"/>
      <c r="K24" s="57"/>
      <c r="L24" s="57"/>
      <c r="M24" s="58"/>
      <c r="N24" s="58"/>
      <c r="O24" s="59"/>
      <c r="P24" s="60">
        <f t="shared" si="2"/>
        <v>0</v>
      </c>
      <c r="Q24" s="87"/>
      <c r="R24" s="62"/>
      <c r="S24" s="68"/>
      <c r="T24" s="68"/>
      <c r="U24" s="68"/>
      <c r="V24" s="69"/>
      <c r="W24" s="76"/>
      <c r="X24" s="61">
        <f t="shared" si="3"/>
        <v>0</v>
      </c>
      <c r="Y24" s="87"/>
      <c r="Z24" s="56"/>
      <c r="AA24" s="57"/>
      <c r="AB24" s="57"/>
      <c r="AC24" s="57"/>
      <c r="AD24" s="58"/>
      <c r="AE24" s="59"/>
      <c r="AF24" s="61">
        <f t="shared" si="4"/>
        <v>0</v>
      </c>
      <c r="AG24" s="87"/>
      <c r="AH24" s="56"/>
      <c r="AI24" s="57"/>
      <c r="AJ24" s="57"/>
      <c r="AK24" s="57"/>
      <c r="AL24" s="58"/>
      <c r="AM24" s="58"/>
      <c r="AN24" s="59"/>
      <c r="AO24" s="40">
        <f t="shared" si="5"/>
        <v>0</v>
      </c>
    </row>
    <row r="25" spans="1:41" ht="21.75" customHeight="1" x14ac:dyDescent="0.25">
      <c r="A25" s="7" t="s">
        <v>18</v>
      </c>
      <c r="B25" s="33">
        <v>8622</v>
      </c>
      <c r="C25" s="7">
        <v>10288</v>
      </c>
      <c r="D25" s="7">
        <v>10292</v>
      </c>
      <c r="E25" s="17">
        <v>4</v>
      </c>
      <c r="F25" s="7">
        <v>139499</v>
      </c>
      <c r="G25" s="7">
        <v>139513</v>
      </c>
      <c r="H25" s="17">
        <f t="shared" si="0"/>
        <v>14</v>
      </c>
      <c r="I25" s="37">
        <f t="shared" si="1"/>
        <v>10</v>
      </c>
      <c r="J25" s="56"/>
      <c r="K25" s="57"/>
      <c r="L25" s="57"/>
      <c r="M25" s="58"/>
      <c r="N25" s="58"/>
      <c r="O25" s="63"/>
      <c r="P25" s="60">
        <f t="shared" si="2"/>
        <v>0</v>
      </c>
      <c r="Q25" s="87"/>
      <c r="R25" s="62"/>
      <c r="S25" s="68"/>
      <c r="T25" s="68"/>
      <c r="U25" s="68"/>
      <c r="V25" s="69"/>
      <c r="W25" s="76"/>
      <c r="X25" s="61">
        <f t="shared" si="3"/>
        <v>0</v>
      </c>
      <c r="Y25" s="87"/>
      <c r="Z25" s="56"/>
      <c r="AA25" s="57">
        <v>10</v>
      </c>
      <c r="AB25" s="57"/>
      <c r="AC25" s="57"/>
      <c r="AD25" s="58"/>
      <c r="AE25" s="59"/>
      <c r="AF25" s="61">
        <f t="shared" si="4"/>
        <v>10</v>
      </c>
      <c r="AG25" s="87"/>
      <c r="AH25" s="56"/>
      <c r="AI25" s="57"/>
      <c r="AJ25" s="57"/>
      <c r="AK25" s="57"/>
      <c r="AL25" s="58"/>
      <c r="AM25" s="58"/>
      <c r="AN25" s="59"/>
      <c r="AO25" s="40">
        <f t="shared" si="5"/>
        <v>0</v>
      </c>
    </row>
    <row r="26" spans="1:41" ht="21.75" customHeight="1" x14ac:dyDescent="0.25">
      <c r="A26" s="7" t="s">
        <v>19</v>
      </c>
      <c r="B26" s="33">
        <v>8623</v>
      </c>
      <c r="C26" s="7">
        <v>13667</v>
      </c>
      <c r="D26" s="7">
        <v>13678</v>
      </c>
      <c r="E26" s="17">
        <v>11</v>
      </c>
      <c r="F26" s="7">
        <v>179886</v>
      </c>
      <c r="G26" s="7">
        <v>180079</v>
      </c>
      <c r="H26" s="17">
        <f t="shared" si="0"/>
        <v>193</v>
      </c>
      <c r="I26" s="37">
        <f t="shared" si="1"/>
        <v>13</v>
      </c>
      <c r="J26" s="56"/>
      <c r="K26" s="57"/>
      <c r="L26" s="57"/>
      <c r="M26" s="58"/>
      <c r="N26" s="64"/>
      <c r="O26" s="65"/>
      <c r="P26" s="60">
        <f t="shared" si="2"/>
        <v>0</v>
      </c>
      <c r="Q26" s="87"/>
      <c r="R26" s="62"/>
      <c r="S26" s="68"/>
      <c r="T26" s="68"/>
      <c r="U26" s="68"/>
      <c r="V26" s="69"/>
      <c r="W26" s="76"/>
      <c r="X26" s="61">
        <f t="shared" si="3"/>
        <v>0</v>
      </c>
      <c r="Y26" s="87"/>
      <c r="Z26" s="56"/>
      <c r="AA26" s="57"/>
      <c r="AB26" s="66"/>
      <c r="AC26" s="57"/>
      <c r="AD26" s="58"/>
      <c r="AE26" s="59"/>
      <c r="AF26" s="61">
        <f t="shared" si="4"/>
        <v>0</v>
      </c>
      <c r="AG26" s="87"/>
      <c r="AH26" s="56">
        <v>7</v>
      </c>
      <c r="AI26" s="67">
        <v>3</v>
      </c>
      <c r="AJ26" s="57">
        <v>1</v>
      </c>
      <c r="AK26" s="57">
        <v>2</v>
      </c>
      <c r="AL26" s="58"/>
      <c r="AM26" s="58"/>
      <c r="AN26" s="59"/>
      <c r="AO26" s="40">
        <f t="shared" si="5"/>
        <v>6</v>
      </c>
    </row>
    <row r="27" spans="1:41" ht="20.25" customHeight="1" x14ac:dyDescent="0.25">
      <c r="A27" s="7" t="s">
        <v>20</v>
      </c>
      <c r="B27" s="33">
        <v>8624</v>
      </c>
      <c r="C27" s="7">
        <v>5188</v>
      </c>
      <c r="D27" s="7">
        <v>5199</v>
      </c>
      <c r="E27" s="17">
        <v>11</v>
      </c>
      <c r="F27" s="7">
        <v>234843</v>
      </c>
      <c r="G27" s="7">
        <v>234995</v>
      </c>
      <c r="H27" s="17">
        <f t="shared" si="0"/>
        <v>152</v>
      </c>
      <c r="I27" s="37">
        <f t="shared" si="1"/>
        <v>12</v>
      </c>
      <c r="J27" s="56"/>
      <c r="K27" s="68"/>
      <c r="L27" s="57"/>
      <c r="M27" s="58"/>
      <c r="N27" s="58"/>
      <c r="O27" s="59"/>
      <c r="P27" s="60">
        <f t="shared" si="2"/>
        <v>0</v>
      </c>
      <c r="Q27" s="87"/>
      <c r="R27" s="62">
        <v>8</v>
      </c>
      <c r="S27" s="68">
        <v>2</v>
      </c>
      <c r="T27" s="68">
        <v>2</v>
      </c>
      <c r="U27" s="68"/>
      <c r="V27" s="69"/>
      <c r="W27" s="76"/>
      <c r="X27" s="61">
        <f t="shared" si="3"/>
        <v>4</v>
      </c>
      <c r="Y27" s="87"/>
      <c r="Z27" s="56"/>
      <c r="AA27" s="57"/>
      <c r="AB27" s="57"/>
      <c r="AC27" s="57"/>
      <c r="AD27" s="58"/>
      <c r="AE27" s="59"/>
      <c r="AF27" s="61">
        <f t="shared" si="4"/>
        <v>0</v>
      </c>
      <c r="AG27" s="87"/>
      <c r="AH27" s="56"/>
      <c r="AI27" s="67"/>
      <c r="AJ27" s="57"/>
      <c r="AK27" s="57"/>
      <c r="AL27" s="58"/>
      <c r="AM27" s="58"/>
      <c r="AN27" s="59"/>
      <c r="AO27" s="40">
        <f t="shared" si="5"/>
        <v>0</v>
      </c>
    </row>
    <row r="28" spans="1:41" ht="21.75" customHeight="1" x14ac:dyDescent="0.25">
      <c r="A28" s="7" t="s">
        <v>21</v>
      </c>
      <c r="B28" s="33">
        <v>8625</v>
      </c>
      <c r="C28" s="7">
        <v>7287</v>
      </c>
      <c r="D28" s="7">
        <v>7297</v>
      </c>
      <c r="E28" s="17">
        <v>10</v>
      </c>
      <c r="F28" s="7">
        <v>279173</v>
      </c>
      <c r="G28" s="7">
        <v>279326</v>
      </c>
      <c r="H28" s="17">
        <f t="shared" si="0"/>
        <v>153</v>
      </c>
      <c r="I28" s="37">
        <f t="shared" si="1"/>
        <v>14</v>
      </c>
      <c r="J28" s="56">
        <v>1</v>
      </c>
      <c r="K28" s="57"/>
      <c r="L28" s="57"/>
      <c r="M28" s="58"/>
      <c r="N28" s="58"/>
      <c r="O28" s="59"/>
      <c r="P28" s="60">
        <f t="shared" si="2"/>
        <v>0</v>
      </c>
      <c r="Q28" s="87"/>
      <c r="R28" s="62"/>
      <c r="S28" s="68"/>
      <c r="T28" s="68"/>
      <c r="U28" s="68"/>
      <c r="V28" s="69"/>
      <c r="W28" s="76"/>
      <c r="X28" s="61">
        <f t="shared" si="3"/>
        <v>0</v>
      </c>
      <c r="Y28" s="87"/>
      <c r="Z28" s="56">
        <v>2</v>
      </c>
      <c r="AA28" s="57">
        <v>11</v>
      </c>
      <c r="AB28" s="57"/>
      <c r="AC28" s="57"/>
      <c r="AD28" s="58"/>
      <c r="AE28" s="59"/>
      <c r="AF28" s="61">
        <f t="shared" si="4"/>
        <v>11</v>
      </c>
      <c r="AG28" s="87"/>
      <c r="AH28" s="56"/>
      <c r="AI28" s="67"/>
      <c r="AJ28" s="57"/>
      <c r="AK28" s="57"/>
      <c r="AL28" s="58"/>
      <c r="AM28" s="58"/>
      <c r="AN28" s="59"/>
      <c r="AO28" s="40">
        <f t="shared" si="5"/>
        <v>0</v>
      </c>
    </row>
    <row r="29" spans="1:41" ht="21.75" customHeight="1" x14ac:dyDescent="0.25">
      <c r="A29" s="7" t="s">
        <v>22</v>
      </c>
      <c r="B29" s="33">
        <v>8626</v>
      </c>
      <c r="C29" s="7"/>
      <c r="D29" s="7"/>
      <c r="E29" s="17">
        <f t="shared" si="6"/>
        <v>0</v>
      </c>
      <c r="F29" s="7"/>
      <c r="G29" s="7"/>
      <c r="H29" s="17">
        <f t="shared" si="0"/>
        <v>0</v>
      </c>
      <c r="I29" s="37">
        <f t="shared" si="1"/>
        <v>0</v>
      </c>
      <c r="J29" s="56"/>
      <c r="K29" s="57"/>
      <c r="L29" s="57"/>
      <c r="M29" s="58"/>
      <c r="N29" s="58"/>
      <c r="O29" s="59"/>
      <c r="P29" s="60">
        <f t="shared" si="2"/>
        <v>0</v>
      </c>
      <c r="Q29" s="87"/>
      <c r="R29" s="62"/>
      <c r="S29" s="68"/>
      <c r="T29" s="68"/>
      <c r="U29" s="68"/>
      <c r="V29" s="69"/>
      <c r="W29" s="76"/>
      <c r="X29" s="61">
        <f t="shared" si="3"/>
        <v>0</v>
      </c>
      <c r="Y29" s="87"/>
      <c r="Z29" s="56"/>
      <c r="AA29" s="57"/>
      <c r="AB29" s="57"/>
      <c r="AC29" s="57"/>
      <c r="AD29" s="58"/>
      <c r="AE29" s="59"/>
      <c r="AF29" s="61">
        <f t="shared" si="4"/>
        <v>0</v>
      </c>
      <c r="AG29" s="87"/>
      <c r="AH29" s="56"/>
      <c r="AI29" s="67"/>
      <c r="AJ29" s="57"/>
      <c r="AK29" s="57"/>
      <c r="AL29" s="58"/>
      <c r="AM29" s="58"/>
      <c r="AN29" s="59"/>
      <c r="AO29" s="40">
        <f t="shared" si="5"/>
        <v>0</v>
      </c>
    </row>
    <row r="30" spans="1:41" ht="21.75" customHeight="1" x14ac:dyDescent="0.25">
      <c r="A30" s="7" t="s">
        <v>23</v>
      </c>
      <c r="B30" s="33">
        <v>8627</v>
      </c>
      <c r="C30" s="7">
        <v>11302</v>
      </c>
      <c r="D30" s="7">
        <v>11311</v>
      </c>
      <c r="E30" s="17">
        <v>9</v>
      </c>
      <c r="F30" s="7">
        <v>139647</v>
      </c>
      <c r="G30" s="7">
        <v>139751</v>
      </c>
      <c r="H30" s="17">
        <f t="shared" si="0"/>
        <v>104</v>
      </c>
      <c r="I30" s="37">
        <f t="shared" si="1"/>
        <v>8</v>
      </c>
      <c r="J30" s="56">
        <v>1</v>
      </c>
      <c r="K30" s="57"/>
      <c r="L30" s="57"/>
      <c r="M30" s="58"/>
      <c r="N30" s="58"/>
      <c r="O30" s="59"/>
      <c r="P30" s="60">
        <f t="shared" si="2"/>
        <v>0</v>
      </c>
      <c r="Q30" s="87"/>
      <c r="R30" s="62">
        <v>1</v>
      </c>
      <c r="S30" s="68"/>
      <c r="T30" s="68"/>
      <c r="U30" s="68"/>
      <c r="V30" s="69"/>
      <c r="W30" s="76"/>
      <c r="X30" s="61">
        <f t="shared" si="3"/>
        <v>0</v>
      </c>
      <c r="Y30" s="87"/>
      <c r="Z30" s="56"/>
      <c r="AA30" s="57"/>
      <c r="AB30" s="57"/>
      <c r="AC30" s="57"/>
      <c r="AD30" s="58"/>
      <c r="AE30" s="59"/>
      <c r="AF30" s="61">
        <f t="shared" si="4"/>
        <v>0</v>
      </c>
      <c r="AG30" s="87"/>
      <c r="AH30" s="56">
        <v>2</v>
      </c>
      <c r="AI30" s="67">
        <v>4</v>
      </c>
      <c r="AJ30" s="57"/>
      <c r="AK30" s="57"/>
      <c r="AL30" s="58"/>
      <c r="AM30" s="58"/>
      <c r="AN30" s="59"/>
      <c r="AO30" s="40">
        <f t="shared" si="5"/>
        <v>4</v>
      </c>
    </row>
    <row r="31" spans="1:41" ht="21.75" customHeight="1" x14ac:dyDescent="0.25">
      <c r="A31" s="7" t="s">
        <v>24</v>
      </c>
      <c r="B31" s="33">
        <v>8628</v>
      </c>
      <c r="C31" s="7">
        <v>10713.7</v>
      </c>
      <c r="D31" s="7">
        <v>10716.3</v>
      </c>
      <c r="E31" s="17">
        <v>2.5999999999985448</v>
      </c>
      <c r="F31" s="7">
        <v>144176</v>
      </c>
      <c r="G31" s="7">
        <v>144227</v>
      </c>
      <c r="H31" s="17">
        <f t="shared" si="0"/>
        <v>51</v>
      </c>
      <c r="I31" s="37">
        <f t="shared" si="1"/>
        <v>4</v>
      </c>
      <c r="J31" s="56"/>
      <c r="K31" s="57"/>
      <c r="L31" s="57"/>
      <c r="M31" s="58"/>
      <c r="N31" s="58"/>
      <c r="O31" s="59"/>
      <c r="P31" s="60">
        <f t="shared" si="2"/>
        <v>0</v>
      </c>
      <c r="Q31" s="87"/>
      <c r="R31" s="62">
        <v>4</v>
      </c>
      <c r="S31" s="68"/>
      <c r="T31" s="68"/>
      <c r="U31" s="68"/>
      <c r="V31" s="69"/>
      <c r="W31" s="76"/>
      <c r="X31" s="61">
        <f t="shared" si="3"/>
        <v>0</v>
      </c>
      <c r="Y31" s="87"/>
      <c r="Z31" s="56"/>
      <c r="AA31" s="57"/>
      <c r="AB31" s="57"/>
      <c r="AC31" s="57"/>
      <c r="AD31" s="58"/>
      <c r="AE31" s="59"/>
      <c r="AF31" s="61">
        <f t="shared" si="4"/>
        <v>0</v>
      </c>
      <c r="AG31" s="87"/>
      <c r="AH31" s="56"/>
      <c r="AI31" s="67"/>
      <c r="AJ31" s="57"/>
      <c r="AK31" s="57"/>
      <c r="AL31" s="58"/>
      <c r="AM31" s="58"/>
      <c r="AN31" s="59"/>
      <c r="AO31" s="40">
        <f t="shared" si="5"/>
        <v>0</v>
      </c>
    </row>
    <row r="32" spans="1:41" ht="21.75" customHeight="1" x14ac:dyDescent="0.25">
      <c r="A32" s="7" t="s">
        <v>25</v>
      </c>
      <c r="B32" s="33">
        <v>8629</v>
      </c>
      <c r="C32" s="7">
        <v>11135</v>
      </c>
      <c r="D32" s="7">
        <v>11145</v>
      </c>
      <c r="E32" s="17">
        <v>10</v>
      </c>
      <c r="F32" s="7">
        <v>145163</v>
      </c>
      <c r="G32" s="7">
        <v>145296</v>
      </c>
      <c r="H32" s="17">
        <f t="shared" si="0"/>
        <v>133</v>
      </c>
      <c r="I32" s="37">
        <f t="shared" si="1"/>
        <v>12</v>
      </c>
      <c r="J32" s="56"/>
      <c r="K32" s="57"/>
      <c r="L32" s="57"/>
      <c r="M32" s="58"/>
      <c r="N32" s="58"/>
      <c r="O32" s="59"/>
      <c r="P32" s="60">
        <f t="shared" si="2"/>
        <v>0</v>
      </c>
      <c r="Q32" s="87"/>
      <c r="R32" s="62"/>
      <c r="S32" s="68"/>
      <c r="T32" s="68"/>
      <c r="U32" s="68"/>
      <c r="V32" s="69"/>
      <c r="W32" s="76"/>
      <c r="X32" s="61">
        <f t="shared" si="3"/>
        <v>0</v>
      </c>
      <c r="Y32" s="87"/>
      <c r="Z32" s="56">
        <v>1</v>
      </c>
      <c r="AA32" s="57">
        <v>10</v>
      </c>
      <c r="AB32" s="57"/>
      <c r="AC32" s="57"/>
      <c r="AD32" s="58"/>
      <c r="AE32" s="59"/>
      <c r="AF32" s="61">
        <f t="shared" si="4"/>
        <v>10</v>
      </c>
      <c r="AG32" s="87"/>
      <c r="AH32" s="56">
        <v>1</v>
      </c>
      <c r="AI32" s="67"/>
      <c r="AJ32" s="57"/>
      <c r="AK32" s="57"/>
      <c r="AL32" s="58"/>
      <c r="AM32" s="58"/>
      <c r="AN32" s="59"/>
      <c r="AO32" s="40">
        <f t="shared" si="5"/>
        <v>0</v>
      </c>
    </row>
    <row r="33" spans="1:41" ht="21.75" customHeight="1" x14ac:dyDescent="0.25">
      <c r="A33" s="7" t="s">
        <v>26</v>
      </c>
      <c r="B33" s="33">
        <v>8630</v>
      </c>
      <c r="C33" s="7">
        <v>5977.9</v>
      </c>
      <c r="D33" s="7">
        <v>5989.4</v>
      </c>
      <c r="E33" s="17">
        <v>11.5</v>
      </c>
      <c r="F33" s="7">
        <v>75098</v>
      </c>
      <c r="G33" s="7">
        <v>75265</v>
      </c>
      <c r="H33" s="17">
        <f t="shared" si="0"/>
        <v>167</v>
      </c>
      <c r="I33" s="37">
        <f t="shared" si="1"/>
        <v>14</v>
      </c>
      <c r="J33" s="56"/>
      <c r="K33" s="57"/>
      <c r="L33" s="57"/>
      <c r="M33" s="58"/>
      <c r="N33" s="58"/>
      <c r="O33" s="59"/>
      <c r="P33" s="60">
        <f t="shared" si="2"/>
        <v>0</v>
      </c>
      <c r="Q33" s="87"/>
      <c r="R33" s="62"/>
      <c r="S33" s="68"/>
      <c r="T33" s="68"/>
      <c r="U33" s="68"/>
      <c r="V33" s="69"/>
      <c r="W33" s="76"/>
      <c r="X33" s="61">
        <f t="shared" si="3"/>
        <v>0</v>
      </c>
      <c r="Y33" s="87"/>
      <c r="Z33" s="56"/>
      <c r="AA33" s="57"/>
      <c r="AB33" s="57"/>
      <c r="AC33" s="57"/>
      <c r="AD33" s="58"/>
      <c r="AE33" s="59"/>
      <c r="AF33" s="61">
        <f t="shared" si="4"/>
        <v>0</v>
      </c>
      <c r="AG33" s="87"/>
      <c r="AH33" s="56">
        <v>8</v>
      </c>
      <c r="AI33" s="67">
        <v>2</v>
      </c>
      <c r="AJ33" s="57">
        <v>1</v>
      </c>
      <c r="AK33" s="57">
        <v>3</v>
      </c>
      <c r="AL33" s="58"/>
      <c r="AM33" s="58"/>
      <c r="AN33" s="59"/>
      <c r="AO33" s="40">
        <f t="shared" si="5"/>
        <v>6</v>
      </c>
    </row>
    <row r="34" spans="1:41" ht="21.75" customHeight="1" x14ac:dyDescent="0.25">
      <c r="A34" s="7" t="s">
        <v>27</v>
      </c>
      <c r="B34" s="33">
        <v>8632</v>
      </c>
      <c r="C34" s="7">
        <v>9119.4</v>
      </c>
      <c r="D34" s="7">
        <v>9130.2999999999993</v>
      </c>
      <c r="E34" s="17">
        <v>10.899999999999636</v>
      </c>
      <c r="F34" s="7">
        <v>90137</v>
      </c>
      <c r="G34" s="7">
        <v>90258</v>
      </c>
      <c r="H34" s="17">
        <f t="shared" si="0"/>
        <v>121</v>
      </c>
      <c r="I34" s="37">
        <f t="shared" si="1"/>
        <v>15</v>
      </c>
      <c r="J34" s="109"/>
      <c r="K34" s="110"/>
      <c r="L34" s="110"/>
      <c r="M34" s="111"/>
      <c r="N34" s="111"/>
      <c r="O34" s="112"/>
      <c r="P34" s="60">
        <f t="shared" si="2"/>
        <v>0</v>
      </c>
      <c r="Q34" s="87"/>
      <c r="R34" s="62"/>
      <c r="S34" s="68"/>
      <c r="T34" s="68"/>
      <c r="U34" s="68"/>
      <c r="V34" s="69"/>
      <c r="W34" s="76"/>
      <c r="X34" s="61">
        <f t="shared" si="3"/>
        <v>0</v>
      </c>
      <c r="Y34" s="87"/>
      <c r="Z34" s="56">
        <v>1</v>
      </c>
      <c r="AA34" s="57">
        <v>13</v>
      </c>
      <c r="AB34" s="57"/>
      <c r="AC34" s="57"/>
      <c r="AD34" s="58"/>
      <c r="AE34" s="59"/>
      <c r="AF34" s="61">
        <f t="shared" si="4"/>
        <v>13</v>
      </c>
      <c r="AG34" s="87"/>
      <c r="AH34" s="56">
        <v>1</v>
      </c>
      <c r="AI34" s="67"/>
      <c r="AJ34" s="57"/>
      <c r="AK34" s="57"/>
      <c r="AL34" s="58"/>
      <c r="AM34" s="58"/>
      <c r="AN34" s="59"/>
      <c r="AO34" s="40">
        <f t="shared" si="5"/>
        <v>0</v>
      </c>
    </row>
    <row r="35" spans="1:41" ht="21.75" customHeight="1" x14ac:dyDescent="0.25">
      <c r="A35" s="7" t="s">
        <v>34</v>
      </c>
      <c r="B35" s="33">
        <v>8633</v>
      </c>
      <c r="C35" s="7">
        <v>7972</v>
      </c>
      <c r="D35" s="7">
        <v>7983.5</v>
      </c>
      <c r="E35" s="17">
        <v>11.5</v>
      </c>
      <c r="F35" s="7">
        <v>279120</v>
      </c>
      <c r="G35" s="7">
        <v>279265</v>
      </c>
      <c r="H35" s="17">
        <f t="shared" si="0"/>
        <v>145</v>
      </c>
      <c r="I35" s="37">
        <f t="shared" si="1"/>
        <v>11</v>
      </c>
      <c r="J35" s="56"/>
      <c r="K35" s="57"/>
      <c r="L35" s="57"/>
      <c r="M35" s="58"/>
      <c r="N35" s="58"/>
      <c r="O35" s="59"/>
      <c r="P35" s="60">
        <f t="shared" si="2"/>
        <v>0</v>
      </c>
      <c r="Q35" s="87"/>
      <c r="R35" s="62">
        <v>6</v>
      </c>
      <c r="S35" s="68">
        <v>4</v>
      </c>
      <c r="T35" s="68">
        <v>1</v>
      </c>
      <c r="U35" s="68"/>
      <c r="V35" s="69"/>
      <c r="W35" s="76"/>
      <c r="X35" s="61">
        <f t="shared" si="3"/>
        <v>5</v>
      </c>
      <c r="Y35" s="87"/>
      <c r="Z35" s="56"/>
      <c r="AA35" s="57"/>
      <c r="AB35" s="57"/>
      <c r="AC35" s="57"/>
      <c r="AD35" s="58"/>
      <c r="AE35" s="59"/>
      <c r="AF35" s="61">
        <f t="shared" si="4"/>
        <v>0</v>
      </c>
      <c r="AG35" s="87"/>
      <c r="AH35" s="56"/>
      <c r="AI35" s="67"/>
      <c r="AJ35" s="57"/>
      <c r="AK35" s="57"/>
      <c r="AL35" s="58"/>
      <c r="AM35" s="58"/>
      <c r="AN35" s="59"/>
      <c r="AO35" s="40">
        <f t="shared" si="5"/>
        <v>0</v>
      </c>
    </row>
    <row r="36" spans="1:41" ht="21.75" customHeight="1" x14ac:dyDescent="0.25">
      <c r="A36" s="7" t="s">
        <v>33</v>
      </c>
      <c r="B36" s="34">
        <v>8644</v>
      </c>
      <c r="C36" s="7"/>
      <c r="D36" s="7"/>
      <c r="E36" s="17">
        <v>45</v>
      </c>
      <c r="F36" s="7"/>
      <c r="G36" s="7"/>
      <c r="H36" s="17">
        <f t="shared" si="0"/>
        <v>0</v>
      </c>
      <c r="I36" s="91">
        <f t="shared" si="1"/>
        <v>0</v>
      </c>
      <c r="J36" s="56"/>
      <c r="K36" s="57"/>
      <c r="L36" s="57"/>
      <c r="M36" s="58"/>
      <c r="N36" s="58"/>
      <c r="O36" s="59"/>
      <c r="P36" s="60">
        <f t="shared" si="2"/>
        <v>0</v>
      </c>
      <c r="Q36" s="87"/>
      <c r="R36" s="62"/>
      <c r="S36" s="68"/>
      <c r="T36" s="68"/>
      <c r="U36" s="68"/>
      <c r="V36" s="69"/>
      <c r="W36" s="76"/>
      <c r="X36" s="61">
        <f t="shared" si="3"/>
        <v>0</v>
      </c>
      <c r="Y36" s="87"/>
      <c r="Z36" s="56"/>
      <c r="AA36" s="57"/>
      <c r="AB36" s="57"/>
      <c r="AC36" s="57"/>
      <c r="AD36" s="58"/>
      <c r="AE36" s="59"/>
      <c r="AF36" s="61">
        <f t="shared" si="4"/>
        <v>0</v>
      </c>
      <c r="AG36" s="87"/>
      <c r="AH36" s="56"/>
      <c r="AI36" s="67"/>
      <c r="AJ36" s="57"/>
      <c r="AK36" s="57"/>
      <c r="AL36" s="58"/>
      <c r="AM36" s="58"/>
      <c r="AN36" s="59"/>
      <c r="AO36" s="40">
        <f t="shared" si="5"/>
        <v>0</v>
      </c>
    </row>
    <row r="37" spans="1:41" ht="21.75" customHeight="1" x14ac:dyDescent="0.25">
      <c r="A37" s="7" t="s">
        <v>33</v>
      </c>
      <c r="B37" s="34">
        <v>8645</v>
      </c>
      <c r="C37" s="7">
        <v>10438</v>
      </c>
      <c r="D37" s="7">
        <v>10446.799999999999</v>
      </c>
      <c r="E37" s="17">
        <v>8.7999999999992724</v>
      </c>
      <c r="F37" s="7">
        <v>146641</v>
      </c>
      <c r="G37" s="7">
        <v>146780</v>
      </c>
      <c r="H37" s="17">
        <f t="shared" si="0"/>
        <v>139</v>
      </c>
      <c r="I37" s="91">
        <f t="shared" si="1"/>
        <v>12</v>
      </c>
      <c r="J37" s="56"/>
      <c r="K37" s="68"/>
      <c r="L37" s="68"/>
      <c r="M37" s="69"/>
      <c r="N37" s="69"/>
      <c r="O37" s="59"/>
      <c r="P37" s="60">
        <f t="shared" si="2"/>
        <v>0</v>
      </c>
      <c r="Q37" s="87"/>
      <c r="R37" s="62">
        <v>7</v>
      </c>
      <c r="S37" s="68">
        <v>3</v>
      </c>
      <c r="T37" s="68">
        <v>2</v>
      </c>
      <c r="U37" s="68"/>
      <c r="V37" s="69"/>
      <c r="W37" s="76"/>
      <c r="X37" s="61">
        <f t="shared" si="3"/>
        <v>5</v>
      </c>
      <c r="Y37" s="87"/>
      <c r="Z37" s="56"/>
      <c r="AA37" s="57"/>
      <c r="AB37" s="57"/>
      <c r="AC37" s="57"/>
      <c r="AD37" s="58"/>
      <c r="AE37" s="59"/>
      <c r="AF37" s="61">
        <f t="shared" si="4"/>
        <v>0</v>
      </c>
      <c r="AG37" s="87"/>
      <c r="AH37" s="56"/>
      <c r="AI37" s="67"/>
      <c r="AJ37" s="57"/>
      <c r="AK37" s="57"/>
      <c r="AL37" s="58"/>
      <c r="AM37" s="58"/>
      <c r="AN37" s="59"/>
      <c r="AO37" s="40">
        <f t="shared" si="5"/>
        <v>0</v>
      </c>
    </row>
    <row r="38" spans="1:41" ht="21.75" customHeight="1" x14ac:dyDescent="0.25">
      <c r="A38" s="7" t="s">
        <v>28</v>
      </c>
      <c r="B38" s="33">
        <v>8651</v>
      </c>
      <c r="C38" s="7">
        <v>6303.4</v>
      </c>
      <c r="D38" s="7">
        <v>6315</v>
      </c>
      <c r="E38" s="17">
        <v>11.600000000000364</v>
      </c>
      <c r="F38" s="7">
        <v>81174</v>
      </c>
      <c r="G38" s="7">
        <v>81298</v>
      </c>
      <c r="H38" s="17">
        <f t="shared" si="0"/>
        <v>124</v>
      </c>
      <c r="I38" s="91">
        <f t="shared" si="1"/>
        <v>11</v>
      </c>
      <c r="J38" s="62"/>
      <c r="K38" s="57"/>
      <c r="L38" s="57"/>
      <c r="M38" s="58"/>
      <c r="N38" s="58"/>
      <c r="O38" s="59"/>
      <c r="P38" s="60">
        <f t="shared" si="2"/>
        <v>0</v>
      </c>
      <c r="Q38" s="87"/>
      <c r="R38" s="62">
        <v>6</v>
      </c>
      <c r="S38" s="68">
        <v>1</v>
      </c>
      <c r="T38" s="68">
        <v>4</v>
      </c>
      <c r="U38" s="68"/>
      <c r="V38" s="69"/>
      <c r="W38" s="76"/>
      <c r="X38" s="61">
        <f t="shared" si="3"/>
        <v>5</v>
      </c>
      <c r="Y38" s="87"/>
      <c r="Z38" s="56"/>
      <c r="AA38" s="57"/>
      <c r="AB38" s="57"/>
      <c r="AC38" s="57"/>
      <c r="AD38" s="58"/>
      <c r="AE38" s="59"/>
      <c r="AF38" s="61">
        <f t="shared" si="4"/>
        <v>0</v>
      </c>
      <c r="AG38" s="87"/>
      <c r="AH38" s="56"/>
      <c r="AI38" s="67"/>
      <c r="AJ38" s="57"/>
      <c r="AK38" s="57"/>
      <c r="AL38" s="58"/>
      <c r="AM38" s="58"/>
      <c r="AN38" s="59"/>
      <c r="AO38" s="40">
        <f t="shared" si="5"/>
        <v>0</v>
      </c>
    </row>
    <row r="39" spans="1:41" ht="21.75" customHeight="1" thickBot="1" x14ac:dyDescent="0.3">
      <c r="A39" s="8" t="s">
        <v>29</v>
      </c>
      <c r="B39" s="81">
        <v>8652</v>
      </c>
      <c r="C39" s="8">
        <v>5856.9</v>
      </c>
      <c r="D39" s="8">
        <v>5865.3</v>
      </c>
      <c r="E39" s="82">
        <v>8.4000000000005457</v>
      </c>
      <c r="F39" s="8">
        <v>75078</v>
      </c>
      <c r="G39" s="8">
        <v>75186</v>
      </c>
      <c r="H39" s="82">
        <f t="shared" si="0"/>
        <v>108</v>
      </c>
      <c r="I39" s="92">
        <f t="shared" si="1"/>
        <v>10</v>
      </c>
      <c r="J39" s="70"/>
      <c r="K39" s="71"/>
      <c r="L39" s="71"/>
      <c r="M39" s="72"/>
      <c r="N39" s="72"/>
      <c r="O39" s="73"/>
      <c r="P39" s="74">
        <f t="shared" si="2"/>
        <v>0</v>
      </c>
      <c r="Q39" s="87"/>
      <c r="R39" s="77"/>
      <c r="S39" s="78"/>
      <c r="T39" s="78"/>
      <c r="U39" s="78"/>
      <c r="V39" s="79"/>
      <c r="W39" s="80"/>
      <c r="X39" s="93">
        <f t="shared" si="3"/>
        <v>0</v>
      </c>
      <c r="Y39" s="87"/>
      <c r="Z39" s="70">
        <v>1</v>
      </c>
      <c r="AA39" s="71">
        <v>8</v>
      </c>
      <c r="AB39" s="71"/>
      <c r="AC39" s="71"/>
      <c r="AD39" s="72"/>
      <c r="AE39" s="73"/>
      <c r="AF39" s="93">
        <f t="shared" si="4"/>
        <v>8</v>
      </c>
      <c r="AG39" s="87"/>
      <c r="AH39" s="70">
        <v>1</v>
      </c>
      <c r="AI39" s="75"/>
      <c r="AJ39" s="71"/>
      <c r="AK39" s="71"/>
      <c r="AL39" s="72"/>
      <c r="AM39" s="72"/>
      <c r="AN39" s="73"/>
      <c r="AO39" s="41">
        <f t="shared" si="5"/>
        <v>0</v>
      </c>
    </row>
    <row r="40" spans="1:41" ht="24.75" customHeight="1" x14ac:dyDescent="0.25">
      <c r="I40" s="89">
        <f>SUM(I4:I39)</f>
        <v>282</v>
      </c>
      <c r="J40" s="88">
        <f>SUM(J4:J39)</f>
        <v>129</v>
      </c>
      <c r="K40" s="88">
        <f>SUM(K4:K39)</f>
        <v>0</v>
      </c>
      <c r="L40" s="88">
        <f>SUM(L4:L39)</f>
        <v>0</v>
      </c>
      <c r="M40" s="88">
        <f t="shared" ref="M40" si="7">SUM(M4:M39)</f>
        <v>0</v>
      </c>
      <c r="N40" s="88">
        <f>SUM(N4:N39)</f>
        <v>0</v>
      </c>
      <c r="O40" s="88">
        <f>SUM(O4:O39)</f>
        <v>0</v>
      </c>
      <c r="P40" s="113">
        <f>SUM(J40:O40)</f>
        <v>129</v>
      </c>
      <c r="R40" s="108">
        <f t="shared" ref="R40:W40" si="8">SUM(R4:R39)</f>
        <v>36</v>
      </c>
      <c r="S40" s="83">
        <f t="shared" si="8"/>
        <v>11</v>
      </c>
      <c r="T40" s="83">
        <f t="shared" si="8"/>
        <v>9</v>
      </c>
      <c r="U40" s="83">
        <f t="shared" si="8"/>
        <v>0</v>
      </c>
      <c r="V40" s="83">
        <f t="shared" si="8"/>
        <v>0</v>
      </c>
      <c r="W40" s="83">
        <f t="shared" si="8"/>
        <v>0</v>
      </c>
      <c r="X40" s="114">
        <f>SUM(R40:W40)</f>
        <v>56</v>
      </c>
      <c r="Z40" s="94">
        <f t="shared" ref="Z40:AE40" si="9">SUM(Z4:Z39)</f>
        <v>6</v>
      </c>
      <c r="AA40" s="83">
        <f t="shared" si="9"/>
        <v>55</v>
      </c>
      <c r="AB40" s="83">
        <f t="shared" si="9"/>
        <v>0</v>
      </c>
      <c r="AC40" s="83">
        <f t="shared" si="9"/>
        <v>0</v>
      </c>
      <c r="AD40" s="83">
        <f t="shared" si="9"/>
        <v>0</v>
      </c>
      <c r="AE40" s="83">
        <f t="shared" si="9"/>
        <v>0</v>
      </c>
      <c r="AF40" s="114">
        <f>SUM(Z40:AE40)</f>
        <v>61</v>
      </c>
      <c r="AH40" s="94">
        <f>SUM(AH4:AH39)</f>
        <v>20</v>
      </c>
      <c r="AI40" s="83">
        <f t="shared" ref="AI40:AN40" si="10">SUM(AI4:AI39)</f>
        <v>9</v>
      </c>
      <c r="AJ40" s="83">
        <f t="shared" si="10"/>
        <v>2</v>
      </c>
      <c r="AK40" s="83">
        <f t="shared" si="10"/>
        <v>5</v>
      </c>
      <c r="AL40" s="83">
        <f t="shared" si="10"/>
        <v>0</v>
      </c>
      <c r="AM40" s="83">
        <f t="shared" si="10"/>
        <v>0</v>
      </c>
      <c r="AN40" s="83">
        <f t="shared" si="10"/>
        <v>0</v>
      </c>
      <c r="AO40" s="115">
        <f>SUM(AH40:AN40)</f>
        <v>36</v>
      </c>
    </row>
    <row r="41" spans="1:41" ht="24.75" customHeight="1" x14ac:dyDescent="0.25">
      <c r="H41" t="s">
        <v>46</v>
      </c>
      <c r="I41" s="38"/>
      <c r="J41" s="1">
        <f>SUM(J4:J23)*25</f>
        <v>3175</v>
      </c>
      <c r="K41" s="1">
        <f t="shared" ref="K41:W41" si="11">SUM(K4:K23)*25</f>
        <v>0</v>
      </c>
      <c r="L41" s="1">
        <f t="shared" si="11"/>
        <v>0</v>
      </c>
      <c r="M41" s="1">
        <f t="shared" si="11"/>
        <v>0</v>
      </c>
      <c r="N41" s="1">
        <f t="shared" si="11"/>
        <v>0</v>
      </c>
      <c r="O41" s="1">
        <f t="shared" si="11"/>
        <v>0</v>
      </c>
      <c r="P41" s="51">
        <f>SUM(P4:P23)*25</f>
        <v>0</v>
      </c>
      <c r="R41" s="27">
        <f t="shared" si="11"/>
        <v>100</v>
      </c>
      <c r="S41" s="1">
        <f t="shared" si="11"/>
        <v>25</v>
      </c>
      <c r="T41" s="1">
        <f t="shared" si="11"/>
        <v>0</v>
      </c>
      <c r="U41" s="1">
        <f t="shared" si="11"/>
        <v>0</v>
      </c>
      <c r="V41" s="1">
        <f t="shared" si="11"/>
        <v>0</v>
      </c>
      <c r="W41" s="1">
        <f t="shared" si="11"/>
        <v>0</v>
      </c>
      <c r="X41" s="36">
        <f>SUM(X4:X23)*25</f>
        <v>25</v>
      </c>
      <c r="Z41" s="2">
        <f t="shared" ref="Z41:AF41" si="12">SUM(Z4:Z23)*25</f>
        <v>25</v>
      </c>
      <c r="AA41" s="1">
        <f t="shared" si="12"/>
        <v>75</v>
      </c>
      <c r="AB41" s="1">
        <f t="shared" si="12"/>
        <v>0</v>
      </c>
      <c r="AC41" s="1">
        <f t="shared" si="12"/>
        <v>0</v>
      </c>
      <c r="AD41" s="1">
        <f t="shared" si="12"/>
        <v>0</v>
      </c>
      <c r="AE41" s="1">
        <f t="shared" si="12"/>
        <v>0</v>
      </c>
      <c r="AF41" s="36">
        <f t="shared" si="12"/>
        <v>75</v>
      </c>
      <c r="AH41" s="2">
        <f t="shared" ref="AH41:AN41" si="13">SUM(AH4:AH23)*25</f>
        <v>0</v>
      </c>
      <c r="AI41" s="1">
        <f t="shared" si="13"/>
        <v>0</v>
      </c>
      <c r="AJ41" s="1">
        <f t="shared" si="13"/>
        <v>0</v>
      </c>
      <c r="AK41" s="1">
        <f t="shared" si="13"/>
        <v>0</v>
      </c>
      <c r="AL41" s="1">
        <f t="shared" si="13"/>
        <v>0</v>
      </c>
      <c r="AM41" s="1">
        <f t="shared" si="13"/>
        <v>0</v>
      </c>
      <c r="AN41" s="1">
        <f t="shared" si="13"/>
        <v>0</v>
      </c>
      <c r="AO41" s="36">
        <f>SUM(AO4:AO23)*25</f>
        <v>0</v>
      </c>
    </row>
    <row r="42" spans="1:41" ht="24.75" customHeight="1" x14ac:dyDescent="0.25">
      <c r="H42" t="s">
        <v>47</v>
      </c>
      <c r="I42" s="38"/>
      <c r="J42" s="1">
        <f>SUM(J24:J39)*20</f>
        <v>40</v>
      </c>
      <c r="K42" s="1">
        <f>SUM(K24:K39)*20</f>
        <v>0</v>
      </c>
      <c r="L42" s="1">
        <f>SUM(L24:L39)*20</f>
        <v>0</v>
      </c>
      <c r="M42" s="1">
        <f t="shared" ref="M42" si="14">SUM(M24:M39)*20</f>
        <v>0</v>
      </c>
      <c r="N42" s="1">
        <f t="shared" ref="N42:X42" si="15">SUM(N24:N39)*20</f>
        <v>0</v>
      </c>
      <c r="O42" s="1">
        <f t="shared" si="15"/>
        <v>0</v>
      </c>
      <c r="P42" s="51">
        <f t="shared" si="15"/>
        <v>0</v>
      </c>
      <c r="R42" s="27">
        <f t="shared" si="15"/>
        <v>640</v>
      </c>
      <c r="S42" s="1">
        <f t="shared" si="15"/>
        <v>200</v>
      </c>
      <c r="T42" s="1">
        <f t="shared" si="15"/>
        <v>180</v>
      </c>
      <c r="U42" s="1">
        <f t="shared" si="15"/>
        <v>0</v>
      </c>
      <c r="V42" s="1">
        <f t="shared" si="15"/>
        <v>0</v>
      </c>
      <c r="W42" s="1">
        <f t="shared" si="15"/>
        <v>0</v>
      </c>
      <c r="X42" s="36">
        <f t="shared" si="15"/>
        <v>380</v>
      </c>
      <c r="Z42" s="2">
        <f t="shared" ref="Z42:AF42" si="16">SUM(Z24:Z39)*20</f>
        <v>100</v>
      </c>
      <c r="AA42" s="1">
        <f t="shared" si="16"/>
        <v>1040</v>
      </c>
      <c r="AB42" s="1">
        <f t="shared" si="16"/>
        <v>0</v>
      </c>
      <c r="AC42" s="1">
        <f t="shared" si="16"/>
        <v>0</v>
      </c>
      <c r="AD42" s="1">
        <f t="shared" si="16"/>
        <v>0</v>
      </c>
      <c r="AE42" s="1">
        <f t="shared" si="16"/>
        <v>0</v>
      </c>
      <c r="AF42" s="36">
        <f t="shared" si="16"/>
        <v>1040</v>
      </c>
      <c r="AH42" s="2">
        <f t="shared" ref="AH42:AN42" si="17">SUM(AH24:AH39)*20</f>
        <v>400</v>
      </c>
      <c r="AI42" s="1">
        <f t="shared" si="17"/>
        <v>180</v>
      </c>
      <c r="AJ42" s="1">
        <f t="shared" si="17"/>
        <v>40</v>
      </c>
      <c r="AK42" s="1">
        <f t="shared" si="17"/>
        <v>100</v>
      </c>
      <c r="AL42" s="1">
        <f t="shared" si="17"/>
        <v>0</v>
      </c>
      <c r="AM42" s="1">
        <f t="shared" si="17"/>
        <v>0</v>
      </c>
      <c r="AN42" s="1">
        <f t="shared" si="17"/>
        <v>0</v>
      </c>
      <c r="AO42" s="36">
        <f>SUM(AO24:AO39)*20</f>
        <v>320</v>
      </c>
    </row>
    <row r="43" spans="1:41" ht="24.75" customHeight="1" thickBot="1" x14ac:dyDescent="0.3">
      <c r="I43" s="144" t="s">
        <v>35</v>
      </c>
      <c r="J43" s="145"/>
      <c r="K43" s="145">
        <f>SUM(J41:N42)</f>
        <v>3215</v>
      </c>
      <c r="L43" s="145"/>
      <c r="M43" s="145"/>
      <c r="N43" s="145"/>
      <c r="O43" s="145"/>
      <c r="P43" s="86"/>
      <c r="Q43" s="32"/>
      <c r="R43" s="144">
        <f>SUM(R41:W42)</f>
        <v>1145</v>
      </c>
      <c r="S43" s="145"/>
      <c r="T43" s="145"/>
      <c r="U43" s="145"/>
      <c r="V43" s="145"/>
      <c r="W43" s="145"/>
      <c r="X43" s="85"/>
      <c r="Y43" s="32"/>
      <c r="Z43" s="144">
        <f>SUM(Z41:AE42)</f>
        <v>1240</v>
      </c>
      <c r="AA43" s="145"/>
      <c r="AB43" s="145"/>
      <c r="AC43" s="145"/>
      <c r="AD43" s="145"/>
      <c r="AE43" s="145"/>
      <c r="AF43" s="85"/>
      <c r="AG43" s="32"/>
      <c r="AH43" s="144">
        <f>SUM(AH41:AN42)</f>
        <v>720</v>
      </c>
      <c r="AI43" s="145"/>
      <c r="AJ43" s="145"/>
      <c r="AK43" s="145"/>
      <c r="AL43" s="145"/>
      <c r="AM43" s="145"/>
      <c r="AN43" s="145"/>
      <c r="AO43" s="96">
        <f>SUM(K43:AN43)</f>
        <v>6320</v>
      </c>
    </row>
    <row r="44" spans="1:41" ht="24.75" customHeight="1" x14ac:dyDescent="0.25">
      <c r="R44">
        <v>5.8</v>
      </c>
      <c r="S44">
        <v>6.2</v>
      </c>
      <c r="Z44">
        <v>10</v>
      </c>
      <c r="AI44">
        <v>5.9</v>
      </c>
      <c r="AJ44">
        <v>14</v>
      </c>
    </row>
  </sheetData>
  <autoFilter ref="J1:AO44" xr:uid="{F8CA6F40-0EAA-4AF9-9803-415709AD0E2F}"/>
  <mergeCells count="9">
    <mergeCell ref="J2:O2"/>
    <mergeCell ref="R2:W2"/>
    <mergeCell ref="Z2:AE2"/>
    <mergeCell ref="AH2:AN2"/>
    <mergeCell ref="I43:J43"/>
    <mergeCell ref="K43:O43"/>
    <mergeCell ref="R43:W43"/>
    <mergeCell ref="Z43:AE43"/>
    <mergeCell ref="AH43:AN43"/>
  </mergeCells>
  <conditionalFormatting sqref="J4:O39 R4:W39 AH4:AN39">
    <cfRule type="expression" dxfId="11" priority="4">
      <formula>MOD(ROW(),2)</formula>
    </cfRule>
  </conditionalFormatting>
  <conditionalFormatting sqref="Z4:AE39">
    <cfRule type="expression" dxfId="10" priority="1">
      <formula>MOD(ROW(),2)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14FF-FF1F-427F-B2FE-C9C2BFC229A3}">
  <dimension ref="A1:AO44"/>
  <sheetViews>
    <sheetView showGridLines="0" topLeftCell="B1" zoomScale="60" zoomScaleNormal="60" workbookViewId="0">
      <selection activeCell="AD4" sqref="AD4"/>
    </sheetView>
  </sheetViews>
  <sheetFormatPr defaultRowHeight="15" x14ac:dyDescent="0.25"/>
  <cols>
    <col min="1" max="1" width="37.85546875" hidden="1" customWidth="1"/>
    <col min="2" max="2" width="8.42578125" bestFit="1" customWidth="1"/>
    <col min="3" max="3" width="8.140625" bestFit="1" customWidth="1"/>
    <col min="4" max="4" width="11.140625" bestFit="1" customWidth="1"/>
    <col min="5" max="5" width="8.5703125" bestFit="1" customWidth="1"/>
    <col min="6" max="6" width="13.7109375" bestFit="1" customWidth="1"/>
    <col min="7" max="8" width="9.42578125" bestFit="1" customWidth="1"/>
    <col min="9" max="9" width="6.85546875" style="32" customWidth="1"/>
    <col min="10" max="10" width="13" customWidth="1"/>
    <col min="11" max="23" width="9.42578125" customWidth="1"/>
    <col min="24" max="24" width="6.28515625" bestFit="1" customWidth="1"/>
    <col min="25" max="25" width="8.7109375" customWidth="1"/>
    <col min="26" max="31" width="11.42578125" customWidth="1"/>
    <col min="32" max="32" width="7.5703125" customWidth="1"/>
    <col min="33" max="33" width="7.7109375" customWidth="1"/>
    <col min="34" max="41" width="9.42578125" customWidth="1"/>
  </cols>
  <sheetData>
    <row r="1" spans="1:41" ht="15.75" thickBot="1" x14ac:dyDescent="0.3"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1" ht="15.75" thickBot="1" x14ac:dyDescent="0.3">
      <c r="B2" s="32"/>
      <c r="J2" s="135" t="s">
        <v>37</v>
      </c>
      <c r="K2" s="136"/>
      <c r="L2" s="136"/>
      <c r="M2" s="137"/>
      <c r="N2" s="137"/>
      <c r="O2" s="138"/>
      <c r="P2" s="32"/>
      <c r="Q2" s="32"/>
      <c r="R2" s="135" t="s">
        <v>38</v>
      </c>
      <c r="S2" s="136"/>
      <c r="T2" s="136"/>
      <c r="U2" s="136"/>
      <c r="V2" s="137"/>
      <c r="W2" s="138"/>
      <c r="X2" s="32"/>
      <c r="Y2" s="32"/>
      <c r="Z2" s="139" t="s">
        <v>43</v>
      </c>
      <c r="AA2" s="140"/>
      <c r="AB2" s="140"/>
      <c r="AC2" s="140"/>
      <c r="AD2" s="141"/>
      <c r="AE2" s="142"/>
      <c r="AF2" s="32"/>
      <c r="AG2" s="32"/>
      <c r="AH2" s="135" t="s">
        <v>39</v>
      </c>
      <c r="AI2" s="143"/>
      <c r="AJ2" s="136"/>
      <c r="AK2" s="136"/>
      <c r="AL2" s="137"/>
      <c r="AM2" s="137"/>
      <c r="AN2" s="138"/>
    </row>
    <row r="3" spans="1:41" ht="51" customHeight="1" x14ac:dyDescent="0.3">
      <c r="B3" s="32"/>
      <c r="J3" s="105" t="s">
        <v>36</v>
      </c>
      <c r="K3" s="102"/>
      <c r="L3" s="102"/>
      <c r="M3" s="103"/>
      <c r="N3" s="103"/>
      <c r="O3" s="104" t="s">
        <v>45</v>
      </c>
      <c r="P3" s="55"/>
      <c r="Q3" s="55"/>
      <c r="R3" s="101" t="s">
        <v>36</v>
      </c>
      <c r="S3" s="102">
        <v>12.2</v>
      </c>
      <c r="T3" s="102">
        <v>62.1</v>
      </c>
      <c r="U3" s="102">
        <v>4</v>
      </c>
      <c r="V3" s="106"/>
      <c r="W3" s="107"/>
      <c r="X3" s="55"/>
      <c r="Y3" s="55"/>
      <c r="Z3" s="117" t="s">
        <v>44</v>
      </c>
      <c r="AA3" s="118">
        <v>56.1</v>
      </c>
      <c r="AB3" s="118">
        <v>58.3</v>
      </c>
      <c r="AC3" s="118"/>
      <c r="AD3" s="119"/>
      <c r="AE3" s="120"/>
      <c r="AF3" s="55"/>
      <c r="AG3" s="55"/>
      <c r="AH3" s="121" t="s">
        <v>36</v>
      </c>
      <c r="AI3" s="116"/>
      <c r="AJ3" s="103">
        <v>12.2</v>
      </c>
      <c r="AK3" s="102">
        <v>6.1</v>
      </c>
      <c r="AL3" s="103"/>
      <c r="AM3" s="103"/>
      <c r="AN3" s="104"/>
    </row>
    <row r="4" spans="1:41" ht="21.75" customHeight="1" x14ac:dyDescent="0.25">
      <c r="A4" s="7" t="s">
        <v>30</v>
      </c>
      <c r="B4" s="33">
        <v>8601</v>
      </c>
      <c r="C4" s="7">
        <v>7884</v>
      </c>
      <c r="D4" s="7">
        <v>7893</v>
      </c>
      <c r="E4" s="17">
        <f>D4-C4</f>
        <v>9</v>
      </c>
      <c r="F4" s="7">
        <v>116339</v>
      </c>
      <c r="G4" s="7">
        <v>116451</v>
      </c>
      <c r="H4" s="17">
        <f t="shared" ref="H4:H39" si="0">+G4-F4</f>
        <v>112</v>
      </c>
      <c r="I4" s="37">
        <f t="shared" ref="I4:I39" si="1">SUM(J4:O4,R4:W4,AH4:AN4,Z4:AE4)</f>
        <v>7</v>
      </c>
      <c r="J4" s="56">
        <v>6</v>
      </c>
      <c r="K4" s="57"/>
      <c r="L4" s="57"/>
      <c r="M4" s="58"/>
      <c r="N4" s="58"/>
      <c r="O4" s="59"/>
      <c r="P4" s="60">
        <f t="shared" ref="P4:P39" si="2">SUM(K4:N4)</f>
        <v>0</v>
      </c>
      <c r="Q4" s="87"/>
      <c r="R4" s="62"/>
      <c r="S4" s="68"/>
      <c r="T4" s="68"/>
      <c r="U4" s="68"/>
      <c r="V4" s="69"/>
      <c r="W4" s="76"/>
      <c r="X4" s="61">
        <f>SUM(S4:W4)</f>
        <v>0</v>
      </c>
      <c r="Y4" s="87"/>
      <c r="Z4" s="56"/>
      <c r="AA4" s="57"/>
      <c r="AB4" s="57">
        <v>1</v>
      </c>
      <c r="AC4" s="57"/>
      <c r="AD4" s="58"/>
      <c r="AE4" s="59"/>
      <c r="AF4" s="61">
        <f>SUM(AA4:AE4)</f>
        <v>1</v>
      </c>
      <c r="AG4" s="87"/>
      <c r="AH4" s="56"/>
      <c r="AI4" s="57"/>
      <c r="AJ4" s="58"/>
      <c r="AK4" s="57"/>
      <c r="AL4" s="58"/>
      <c r="AM4" s="58"/>
      <c r="AN4" s="59"/>
      <c r="AO4" s="40">
        <f>SUM(AI4:AN4)</f>
        <v>0</v>
      </c>
    </row>
    <row r="5" spans="1:41" ht="21.75" customHeight="1" x14ac:dyDescent="0.25">
      <c r="A5" s="7" t="s">
        <v>31</v>
      </c>
      <c r="B5" s="33">
        <v>8602</v>
      </c>
      <c r="C5" s="7">
        <v>5888</v>
      </c>
      <c r="D5" s="7">
        <v>5898</v>
      </c>
      <c r="E5" s="17">
        <f t="shared" ref="E5:E39" si="3">D5-C5</f>
        <v>10</v>
      </c>
      <c r="F5" s="7">
        <v>57398</v>
      </c>
      <c r="G5" s="7">
        <f>+F5+120</f>
        <v>57518</v>
      </c>
      <c r="H5" s="17">
        <f t="shared" si="0"/>
        <v>120</v>
      </c>
      <c r="I5" s="37">
        <f t="shared" si="1"/>
        <v>8</v>
      </c>
      <c r="J5" s="56">
        <v>8</v>
      </c>
      <c r="K5" s="57"/>
      <c r="L5" s="57"/>
      <c r="M5" s="58"/>
      <c r="N5" s="58"/>
      <c r="O5" s="59"/>
      <c r="P5" s="60">
        <f t="shared" si="2"/>
        <v>0</v>
      </c>
      <c r="Q5" s="87"/>
      <c r="R5" s="62"/>
      <c r="S5" s="68"/>
      <c r="T5" s="68"/>
      <c r="U5" s="68"/>
      <c r="V5" s="69"/>
      <c r="W5" s="76"/>
      <c r="X5" s="61">
        <f t="shared" ref="X5:X39" si="4">SUM(S5:W5)</f>
        <v>0</v>
      </c>
      <c r="Y5" s="87"/>
      <c r="Z5" s="56"/>
      <c r="AA5" s="57"/>
      <c r="AB5" s="57"/>
      <c r="AC5" s="57"/>
      <c r="AD5" s="58"/>
      <c r="AE5" s="59"/>
      <c r="AF5" s="61">
        <f t="shared" ref="AF5:AF39" si="5">SUM(AA5:AE5)</f>
        <v>0</v>
      </c>
      <c r="AG5" s="87"/>
      <c r="AH5" s="56"/>
      <c r="AI5" s="57"/>
      <c r="AJ5" s="58"/>
      <c r="AK5" s="57"/>
      <c r="AL5" s="58"/>
      <c r="AM5" s="58"/>
      <c r="AN5" s="59"/>
      <c r="AO5" s="40">
        <f t="shared" ref="AO5:AO39" si="6">SUM(AI5:AN5)</f>
        <v>0</v>
      </c>
    </row>
    <row r="6" spans="1:41" ht="21.75" customHeight="1" x14ac:dyDescent="0.25">
      <c r="A6" s="7" t="s">
        <v>32</v>
      </c>
      <c r="B6" s="33">
        <v>8603</v>
      </c>
      <c r="C6" s="7">
        <v>7220</v>
      </c>
      <c r="D6" s="7">
        <v>7231</v>
      </c>
      <c r="E6" s="17">
        <f t="shared" si="3"/>
        <v>11</v>
      </c>
      <c r="F6" s="7">
        <v>90735</v>
      </c>
      <c r="G6" s="7">
        <f>+F6+100</f>
        <v>90835</v>
      </c>
      <c r="H6" s="17">
        <f t="shared" si="0"/>
        <v>100</v>
      </c>
      <c r="I6" s="37">
        <f t="shared" si="1"/>
        <v>6</v>
      </c>
      <c r="J6" s="56">
        <v>5</v>
      </c>
      <c r="K6" s="57"/>
      <c r="L6" s="57"/>
      <c r="M6" s="58"/>
      <c r="N6" s="58"/>
      <c r="O6" s="59"/>
      <c r="P6" s="60">
        <f t="shared" si="2"/>
        <v>0</v>
      </c>
      <c r="Q6" s="87"/>
      <c r="R6" s="62"/>
      <c r="S6" s="68"/>
      <c r="T6" s="68"/>
      <c r="U6" s="68"/>
      <c r="V6" s="69"/>
      <c r="W6" s="76"/>
      <c r="X6" s="61">
        <f t="shared" si="4"/>
        <v>0</v>
      </c>
      <c r="Y6" s="87"/>
      <c r="Z6" s="56"/>
      <c r="AA6" s="57"/>
      <c r="AB6" s="57">
        <v>1</v>
      </c>
      <c r="AC6" s="57"/>
      <c r="AD6" s="58"/>
      <c r="AE6" s="59"/>
      <c r="AF6" s="61">
        <f t="shared" si="5"/>
        <v>1</v>
      </c>
      <c r="AG6" s="87"/>
      <c r="AH6" s="56"/>
      <c r="AI6" s="57"/>
      <c r="AJ6" s="58"/>
      <c r="AK6" s="57"/>
      <c r="AL6" s="58"/>
      <c r="AM6" s="58"/>
      <c r="AN6" s="59"/>
      <c r="AO6" s="40">
        <f t="shared" si="6"/>
        <v>0</v>
      </c>
    </row>
    <row r="7" spans="1:41" ht="21.75" customHeight="1" x14ac:dyDescent="0.25">
      <c r="A7" s="7" t="s">
        <v>0</v>
      </c>
      <c r="B7" s="33">
        <v>8604</v>
      </c>
      <c r="C7" s="7">
        <v>9075</v>
      </c>
      <c r="D7" s="7">
        <v>9086</v>
      </c>
      <c r="E7" s="17">
        <f t="shared" si="3"/>
        <v>11</v>
      </c>
      <c r="F7" s="7">
        <v>94157</v>
      </c>
      <c r="G7" s="7">
        <v>94283</v>
      </c>
      <c r="H7" s="17">
        <f t="shared" si="0"/>
        <v>126</v>
      </c>
      <c r="I7" s="37">
        <f t="shared" si="1"/>
        <v>9</v>
      </c>
      <c r="J7" s="56">
        <v>3</v>
      </c>
      <c r="K7" s="57"/>
      <c r="L7" s="57"/>
      <c r="M7" s="58"/>
      <c r="N7" s="58"/>
      <c r="O7" s="59"/>
      <c r="P7" s="60">
        <f t="shared" si="2"/>
        <v>0</v>
      </c>
      <c r="Q7" s="87"/>
      <c r="R7" s="62">
        <v>3</v>
      </c>
      <c r="S7" s="68"/>
      <c r="T7" s="68"/>
      <c r="U7" s="68">
        <v>1</v>
      </c>
      <c r="V7" s="69"/>
      <c r="W7" s="76"/>
      <c r="X7" s="61">
        <f t="shared" si="4"/>
        <v>1</v>
      </c>
      <c r="Y7" s="87"/>
      <c r="Z7" s="56"/>
      <c r="AA7" s="57"/>
      <c r="AB7" s="57">
        <v>2</v>
      </c>
      <c r="AC7" s="57"/>
      <c r="AD7" s="58"/>
      <c r="AE7" s="59"/>
      <c r="AF7" s="61">
        <f t="shared" si="5"/>
        <v>2</v>
      </c>
      <c r="AG7" s="87"/>
      <c r="AH7" s="56"/>
      <c r="AI7" s="57"/>
      <c r="AJ7" s="58"/>
      <c r="AK7" s="57"/>
      <c r="AL7" s="58"/>
      <c r="AM7" s="58"/>
      <c r="AN7" s="59"/>
      <c r="AO7" s="40">
        <f t="shared" si="6"/>
        <v>0</v>
      </c>
    </row>
    <row r="8" spans="1:41" ht="21.75" customHeight="1" x14ac:dyDescent="0.25">
      <c r="A8" s="7" t="s">
        <v>1</v>
      </c>
      <c r="B8" s="33">
        <v>8605</v>
      </c>
      <c r="C8" s="7"/>
      <c r="D8" s="7"/>
      <c r="E8" s="17">
        <f t="shared" si="3"/>
        <v>0</v>
      </c>
      <c r="F8" s="7"/>
      <c r="G8" s="7"/>
      <c r="H8" s="17">
        <f t="shared" si="0"/>
        <v>0</v>
      </c>
      <c r="I8" s="37">
        <f t="shared" si="1"/>
        <v>0</v>
      </c>
      <c r="J8" s="56"/>
      <c r="K8" s="57"/>
      <c r="L8" s="57"/>
      <c r="M8" s="58"/>
      <c r="N8" s="58"/>
      <c r="O8" s="59"/>
      <c r="P8" s="60">
        <f t="shared" si="2"/>
        <v>0</v>
      </c>
      <c r="Q8" s="87"/>
      <c r="R8" s="62"/>
      <c r="S8" s="68"/>
      <c r="T8" s="68"/>
      <c r="U8" s="68"/>
      <c r="V8" s="69"/>
      <c r="W8" s="76"/>
      <c r="X8" s="61">
        <f t="shared" si="4"/>
        <v>0</v>
      </c>
      <c r="Y8" s="87"/>
      <c r="Z8" s="56"/>
      <c r="AA8" s="57"/>
      <c r="AB8" s="57"/>
      <c r="AC8" s="57"/>
      <c r="AD8" s="58"/>
      <c r="AE8" s="59"/>
      <c r="AF8" s="61">
        <f t="shared" si="5"/>
        <v>0</v>
      </c>
      <c r="AG8" s="87"/>
      <c r="AH8" s="56"/>
      <c r="AI8" s="57"/>
      <c r="AJ8" s="58"/>
      <c r="AK8" s="57"/>
      <c r="AL8" s="58"/>
      <c r="AM8" s="58"/>
      <c r="AN8" s="59"/>
      <c r="AO8" s="40">
        <f t="shared" si="6"/>
        <v>0</v>
      </c>
    </row>
    <row r="9" spans="1:41" ht="21.75" customHeight="1" x14ac:dyDescent="0.25">
      <c r="A9" s="7" t="s">
        <v>2</v>
      </c>
      <c r="B9" s="33">
        <v>8606</v>
      </c>
      <c r="C9" s="7">
        <v>10171</v>
      </c>
      <c r="D9" s="7">
        <v>10180</v>
      </c>
      <c r="E9" s="17">
        <f t="shared" si="3"/>
        <v>9</v>
      </c>
      <c r="F9" s="7">
        <v>126035</v>
      </c>
      <c r="G9" s="7">
        <v>126256</v>
      </c>
      <c r="H9" s="17">
        <f t="shared" si="0"/>
        <v>221</v>
      </c>
      <c r="I9" s="37">
        <f t="shared" si="1"/>
        <v>10</v>
      </c>
      <c r="J9" s="56">
        <v>9</v>
      </c>
      <c r="K9" s="57"/>
      <c r="L9" s="57"/>
      <c r="M9" s="58"/>
      <c r="N9" s="58"/>
      <c r="O9" s="59"/>
      <c r="P9" s="60">
        <f t="shared" si="2"/>
        <v>0</v>
      </c>
      <c r="Q9" s="87"/>
      <c r="R9" s="62"/>
      <c r="S9" s="68"/>
      <c r="T9" s="68"/>
      <c r="U9" s="68"/>
      <c r="V9" s="69"/>
      <c r="W9" s="76"/>
      <c r="X9" s="61">
        <f t="shared" si="4"/>
        <v>0</v>
      </c>
      <c r="Y9" s="87"/>
      <c r="Z9" s="56"/>
      <c r="AA9" s="57"/>
      <c r="AB9" s="57">
        <v>1</v>
      </c>
      <c r="AC9" s="57"/>
      <c r="AD9" s="58"/>
      <c r="AE9" s="59"/>
      <c r="AF9" s="61">
        <f t="shared" si="5"/>
        <v>1</v>
      </c>
      <c r="AG9" s="87"/>
      <c r="AH9" s="56"/>
      <c r="AI9" s="57"/>
      <c r="AJ9" s="58"/>
      <c r="AK9" s="57"/>
      <c r="AL9" s="58"/>
      <c r="AM9" s="58"/>
      <c r="AN9" s="59"/>
      <c r="AO9" s="40">
        <f t="shared" si="6"/>
        <v>0</v>
      </c>
    </row>
    <row r="10" spans="1:41" ht="21.75" customHeight="1" x14ac:dyDescent="0.25">
      <c r="A10" s="7" t="s">
        <v>3</v>
      </c>
      <c r="B10" s="33">
        <v>8607</v>
      </c>
      <c r="C10" s="7">
        <v>8794</v>
      </c>
      <c r="D10" s="7">
        <v>8804</v>
      </c>
      <c r="E10" s="17">
        <f t="shared" si="3"/>
        <v>10</v>
      </c>
      <c r="F10" s="7">
        <v>85125</v>
      </c>
      <c r="G10" s="7">
        <f>+F10+150</f>
        <v>85275</v>
      </c>
      <c r="H10" s="17">
        <f>+G10-F10</f>
        <v>150</v>
      </c>
      <c r="I10" s="37">
        <f t="shared" si="1"/>
        <v>11</v>
      </c>
      <c r="J10" s="56">
        <v>9</v>
      </c>
      <c r="K10" s="57"/>
      <c r="L10" s="57"/>
      <c r="M10" s="58"/>
      <c r="N10" s="58"/>
      <c r="O10" s="59"/>
      <c r="P10" s="60">
        <f t="shared" si="2"/>
        <v>0</v>
      </c>
      <c r="Q10" s="87"/>
      <c r="R10" s="62"/>
      <c r="S10" s="68">
        <v>2</v>
      </c>
      <c r="T10" s="68"/>
      <c r="U10" s="68"/>
      <c r="V10" s="69"/>
      <c r="W10" s="76"/>
      <c r="X10" s="61">
        <f t="shared" si="4"/>
        <v>2</v>
      </c>
      <c r="Y10" s="87"/>
      <c r="Z10" s="56"/>
      <c r="AA10" s="57"/>
      <c r="AB10" s="57"/>
      <c r="AC10" s="57"/>
      <c r="AD10" s="58"/>
      <c r="AE10" s="59"/>
      <c r="AF10" s="61">
        <f t="shared" si="5"/>
        <v>0</v>
      </c>
      <c r="AG10" s="87"/>
      <c r="AH10" s="56"/>
      <c r="AI10" s="57"/>
      <c r="AJ10" s="58"/>
      <c r="AK10" s="57"/>
      <c r="AL10" s="58"/>
      <c r="AM10" s="58"/>
      <c r="AN10" s="59"/>
      <c r="AO10" s="40">
        <f t="shared" si="6"/>
        <v>0</v>
      </c>
    </row>
    <row r="11" spans="1:41" ht="21.75" customHeight="1" x14ac:dyDescent="0.25">
      <c r="A11" s="7" t="s">
        <v>4</v>
      </c>
      <c r="B11" s="33">
        <v>8608</v>
      </c>
      <c r="C11" s="7">
        <v>10859</v>
      </c>
      <c r="D11" s="7">
        <v>10860</v>
      </c>
      <c r="E11" s="17">
        <f t="shared" si="3"/>
        <v>1</v>
      </c>
      <c r="F11" s="7">
        <v>133163</v>
      </c>
      <c r="G11" s="7">
        <f>+F11+40</f>
        <v>133203</v>
      </c>
      <c r="H11" s="17">
        <f t="shared" si="0"/>
        <v>40</v>
      </c>
      <c r="I11" s="37">
        <f t="shared" si="1"/>
        <v>1</v>
      </c>
      <c r="J11" s="62">
        <v>1</v>
      </c>
      <c r="K11" s="57"/>
      <c r="L11" s="57"/>
      <c r="M11" s="58"/>
      <c r="N11" s="58"/>
      <c r="O11" s="59"/>
      <c r="P11" s="60">
        <f t="shared" si="2"/>
        <v>0</v>
      </c>
      <c r="Q11" s="87"/>
      <c r="R11" s="62"/>
      <c r="S11" s="68"/>
      <c r="T11" s="68"/>
      <c r="U11" s="68"/>
      <c r="V11" s="69"/>
      <c r="W11" s="76"/>
      <c r="X11" s="61">
        <f t="shared" si="4"/>
        <v>0</v>
      </c>
      <c r="Y11" s="87"/>
      <c r="Z11" s="56"/>
      <c r="AA11" s="57"/>
      <c r="AB11" s="57"/>
      <c r="AC11" s="57"/>
      <c r="AD11" s="58"/>
      <c r="AE11" s="59"/>
      <c r="AF11" s="61">
        <f t="shared" si="5"/>
        <v>0</v>
      </c>
      <c r="AG11" s="87"/>
      <c r="AH11" s="56"/>
      <c r="AI11" s="57"/>
      <c r="AJ11" s="58"/>
      <c r="AK11" s="57"/>
      <c r="AL11" s="58"/>
      <c r="AM11" s="58"/>
      <c r="AN11" s="59"/>
      <c r="AO11" s="40">
        <f t="shared" si="6"/>
        <v>0</v>
      </c>
    </row>
    <row r="12" spans="1:41" ht="21.75" customHeight="1" x14ac:dyDescent="0.25">
      <c r="A12" s="7" t="s">
        <v>5</v>
      </c>
      <c r="B12" s="33">
        <v>8609</v>
      </c>
      <c r="C12" s="7">
        <v>10896</v>
      </c>
      <c r="D12" s="7">
        <v>10907</v>
      </c>
      <c r="E12" s="17">
        <f t="shared" si="3"/>
        <v>11</v>
      </c>
      <c r="F12" s="7">
        <v>142868</v>
      </c>
      <c r="G12" s="7">
        <v>143015</v>
      </c>
      <c r="H12" s="17">
        <f t="shared" si="0"/>
        <v>147</v>
      </c>
      <c r="I12" s="37">
        <f t="shared" si="1"/>
        <v>9</v>
      </c>
      <c r="J12" s="56">
        <v>8</v>
      </c>
      <c r="K12" s="57"/>
      <c r="L12" s="57"/>
      <c r="M12" s="58"/>
      <c r="N12" s="58"/>
      <c r="O12" s="59"/>
      <c r="P12" s="60">
        <f t="shared" si="2"/>
        <v>0</v>
      </c>
      <c r="Q12" s="87"/>
      <c r="R12" s="62"/>
      <c r="S12" s="68"/>
      <c r="T12" s="68"/>
      <c r="U12" s="68"/>
      <c r="V12" s="69"/>
      <c r="W12" s="76"/>
      <c r="X12" s="61">
        <f t="shared" si="4"/>
        <v>0</v>
      </c>
      <c r="Y12" s="87"/>
      <c r="Z12" s="56"/>
      <c r="AA12" s="57"/>
      <c r="AB12" s="57">
        <v>1</v>
      </c>
      <c r="AC12" s="57"/>
      <c r="AD12" s="58"/>
      <c r="AE12" s="59"/>
      <c r="AF12" s="61">
        <f t="shared" si="5"/>
        <v>1</v>
      </c>
      <c r="AG12" s="87"/>
      <c r="AH12" s="56"/>
      <c r="AI12" s="57"/>
      <c r="AJ12" s="58"/>
      <c r="AK12" s="57"/>
      <c r="AL12" s="58"/>
      <c r="AM12" s="58"/>
      <c r="AN12" s="59"/>
      <c r="AO12" s="40">
        <f t="shared" si="6"/>
        <v>0</v>
      </c>
    </row>
    <row r="13" spans="1:41" ht="21.75" customHeight="1" x14ac:dyDescent="0.25">
      <c r="A13" s="7" t="s">
        <v>6</v>
      </c>
      <c r="B13" s="33">
        <v>8610</v>
      </c>
      <c r="C13" s="7">
        <v>6395</v>
      </c>
      <c r="D13" s="7">
        <v>6405</v>
      </c>
      <c r="E13" s="17">
        <f t="shared" si="3"/>
        <v>10</v>
      </c>
      <c r="F13" s="7">
        <v>26568</v>
      </c>
      <c r="G13" s="7">
        <f>+F13+90</f>
        <v>26658</v>
      </c>
      <c r="H13" s="17">
        <f t="shared" si="0"/>
        <v>90</v>
      </c>
      <c r="I13" s="37">
        <f t="shared" si="1"/>
        <v>8</v>
      </c>
      <c r="J13" s="56">
        <v>7</v>
      </c>
      <c r="K13" s="57"/>
      <c r="L13" s="57"/>
      <c r="M13" s="58"/>
      <c r="N13" s="58"/>
      <c r="O13" s="59"/>
      <c r="P13" s="60">
        <f t="shared" si="2"/>
        <v>0</v>
      </c>
      <c r="Q13" s="87"/>
      <c r="R13" s="62"/>
      <c r="S13" s="68"/>
      <c r="T13" s="68">
        <v>1</v>
      </c>
      <c r="U13" s="68"/>
      <c r="V13" s="69"/>
      <c r="W13" s="76"/>
      <c r="X13" s="61">
        <f t="shared" si="4"/>
        <v>1</v>
      </c>
      <c r="Y13" s="87"/>
      <c r="Z13" s="56"/>
      <c r="AA13" s="57"/>
      <c r="AB13" s="57"/>
      <c r="AC13" s="57"/>
      <c r="AD13" s="58"/>
      <c r="AE13" s="59"/>
      <c r="AF13" s="61">
        <f t="shared" si="5"/>
        <v>0</v>
      </c>
      <c r="AG13" s="87"/>
      <c r="AH13" s="56"/>
      <c r="AI13" s="57"/>
      <c r="AJ13" s="58"/>
      <c r="AK13" s="57"/>
      <c r="AL13" s="58"/>
      <c r="AM13" s="58"/>
      <c r="AN13" s="59"/>
      <c r="AO13" s="40">
        <f t="shared" si="6"/>
        <v>0</v>
      </c>
    </row>
    <row r="14" spans="1:41" ht="21.75" customHeight="1" x14ac:dyDescent="0.25">
      <c r="A14" s="7" t="s">
        <v>7</v>
      </c>
      <c r="B14" s="33">
        <v>8611</v>
      </c>
      <c r="C14" s="7"/>
      <c r="D14" s="7"/>
      <c r="E14" s="17">
        <f t="shared" si="3"/>
        <v>0</v>
      </c>
      <c r="F14" s="7"/>
      <c r="G14" s="7"/>
      <c r="H14" s="17">
        <f t="shared" si="0"/>
        <v>0</v>
      </c>
      <c r="I14" s="37">
        <f t="shared" si="1"/>
        <v>0</v>
      </c>
      <c r="J14" s="56"/>
      <c r="K14" s="57"/>
      <c r="L14" s="57"/>
      <c r="M14" s="58"/>
      <c r="N14" s="58"/>
      <c r="O14" s="59"/>
      <c r="P14" s="60">
        <f t="shared" si="2"/>
        <v>0</v>
      </c>
      <c r="Q14" s="87"/>
      <c r="R14" s="62"/>
      <c r="S14" s="68"/>
      <c r="T14" s="68"/>
      <c r="U14" s="68"/>
      <c r="V14" s="69"/>
      <c r="W14" s="76"/>
      <c r="X14" s="61">
        <f t="shared" si="4"/>
        <v>0</v>
      </c>
      <c r="Y14" s="87"/>
      <c r="Z14" s="56"/>
      <c r="AA14" s="57"/>
      <c r="AB14" s="57"/>
      <c r="AC14" s="57"/>
      <c r="AD14" s="58"/>
      <c r="AE14" s="59"/>
      <c r="AF14" s="61">
        <f t="shared" si="5"/>
        <v>0</v>
      </c>
      <c r="AG14" s="87"/>
      <c r="AH14" s="56"/>
      <c r="AI14" s="57"/>
      <c r="AJ14" s="58"/>
      <c r="AK14" s="57"/>
      <c r="AL14" s="58"/>
      <c r="AM14" s="58"/>
      <c r="AN14" s="59"/>
      <c r="AO14" s="40">
        <f t="shared" si="6"/>
        <v>0</v>
      </c>
    </row>
    <row r="15" spans="1:41" ht="21.75" customHeight="1" x14ac:dyDescent="0.25">
      <c r="A15" s="7" t="s">
        <v>8</v>
      </c>
      <c r="B15" s="33">
        <v>8612</v>
      </c>
      <c r="C15" s="7"/>
      <c r="D15" s="7"/>
      <c r="E15" s="17">
        <f t="shared" si="3"/>
        <v>0</v>
      </c>
      <c r="F15" s="7"/>
      <c r="G15" s="7"/>
      <c r="H15" s="17">
        <f t="shared" si="0"/>
        <v>0</v>
      </c>
      <c r="I15" s="37">
        <f t="shared" si="1"/>
        <v>0</v>
      </c>
      <c r="J15" s="56"/>
      <c r="K15" s="57"/>
      <c r="L15" s="57"/>
      <c r="M15" s="58"/>
      <c r="N15" s="58"/>
      <c r="O15" s="59"/>
      <c r="P15" s="60">
        <f t="shared" si="2"/>
        <v>0</v>
      </c>
      <c r="Q15" s="87"/>
      <c r="R15" s="62"/>
      <c r="S15" s="68"/>
      <c r="T15" s="68"/>
      <c r="U15" s="68"/>
      <c r="V15" s="69"/>
      <c r="W15" s="76"/>
      <c r="X15" s="61">
        <f t="shared" si="4"/>
        <v>0</v>
      </c>
      <c r="Y15" s="87"/>
      <c r="Z15" s="56"/>
      <c r="AA15" s="57"/>
      <c r="AB15" s="57"/>
      <c r="AC15" s="57"/>
      <c r="AD15" s="58"/>
      <c r="AE15" s="59"/>
      <c r="AF15" s="61">
        <f>SUM(AA15:AE15)</f>
        <v>0</v>
      </c>
      <c r="AG15" s="87"/>
      <c r="AH15" s="56"/>
      <c r="AI15" s="57"/>
      <c r="AJ15" s="58"/>
      <c r="AK15" s="57"/>
      <c r="AL15" s="58"/>
      <c r="AM15" s="58"/>
      <c r="AN15" s="59"/>
      <c r="AO15" s="40">
        <f t="shared" si="6"/>
        <v>0</v>
      </c>
    </row>
    <row r="16" spans="1:41" ht="21.75" customHeight="1" x14ac:dyDescent="0.25">
      <c r="A16" s="7" t="s">
        <v>9</v>
      </c>
      <c r="B16" s="33">
        <v>8613</v>
      </c>
      <c r="C16" s="7">
        <v>10719</v>
      </c>
      <c r="D16" s="7">
        <v>10731</v>
      </c>
      <c r="E16" s="17">
        <f t="shared" si="3"/>
        <v>12</v>
      </c>
      <c r="F16" s="7">
        <v>93368</v>
      </c>
      <c r="G16" s="7">
        <f>+F16+150</f>
        <v>93518</v>
      </c>
      <c r="H16" s="17">
        <f t="shared" si="0"/>
        <v>150</v>
      </c>
      <c r="I16" s="37">
        <f t="shared" si="1"/>
        <v>12</v>
      </c>
      <c r="J16" s="56">
        <v>5</v>
      </c>
      <c r="K16" s="57"/>
      <c r="L16" s="57"/>
      <c r="M16" s="58"/>
      <c r="N16" s="58"/>
      <c r="O16" s="59"/>
      <c r="P16" s="60">
        <f t="shared" si="2"/>
        <v>0</v>
      </c>
      <c r="Q16" s="87"/>
      <c r="R16" s="62">
        <v>3</v>
      </c>
      <c r="S16" s="68">
        <v>3</v>
      </c>
      <c r="T16" s="68">
        <v>1</v>
      </c>
      <c r="U16" s="68"/>
      <c r="V16" s="69"/>
      <c r="W16" s="76"/>
      <c r="X16" s="61">
        <f t="shared" si="4"/>
        <v>4</v>
      </c>
      <c r="Y16" s="87"/>
      <c r="Z16" s="56"/>
      <c r="AA16" s="57"/>
      <c r="AB16" s="57"/>
      <c r="AC16" s="57"/>
      <c r="AD16" s="58"/>
      <c r="AE16" s="59"/>
      <c r="AF16" s="61">
        <f t="shared" si="5"/>
        <v>0</v>
      </c>
      <c r="AG16" s="87"/>
      <c r="AH16" s="56"/>
      <c r="AI16" s="57"/>
      <c r="AJ16" s="58"/>
      <c r="AK16" s="57"/>
      <c r="AL16" s="58"/>
      <c r="AM16" s="58"/>
      <c r="AN16" s="59"/>
      <c r="AO16" s="40">
        <f t="shared" si="6"/>
        <v>0</v>
      </c>
    </row>
    <row r="17" spans="1:41" ht="21.75" customHeight="1" x14ac:dyDescent="0.25">
      <c r="A17" s="7" t="s">
        <v>10</v>
      </c>
      <c r="B17" s="33">
        <v>8614</v>
      </c>
      <c r="C17" s="7">
        <v>8556</v>
      </c>
      <c r="D17" s="7">
        <v>8568</v>
      </c>
      <c r="E17" s="17">
        <f t="shared" si="3"/>
        <v>12</v>
      </c>
      <c r="F17" s="7">
        <v>118164</v>
      </c>
      <c r="G17" s="7">
        <v>118287</v>
      </c>
      <c r="H17" s="17">
        <f t="shared" si="0"/>
        <v>123</v>
      </c>
      <c r="I17" s="37">
        <f t="shared" si="1"/>
        <v>9</v>
      </c>
      <c r="J17" s="56"/>
      <c r="K17" s="57"/>
      <c r="L17" s="57"/>
      <c r="M17" s="58"/>
      <c r="N17" s="58"/>
      <c r="O17" s="59"/>
      <c r="P17" s="60">
        <f t="shared" si="2"/>
        <v>0</v>
      </c>
      <c r="Q17" s="87"/>
      <c r="R17" s="62">
        <v>5</v>
      </c>
      <c r="S17" s="68">
        <v>2</v>
      </c>
      <c r="T17" s="68">
        <v>1</v>
      </c>
      <c r="U17" s="68">
        <v>1</v>
      </c>
      <c r="V17" s="69"/>
      <c r="W17" s="76"/>
      <c r="X17" s="61">
        <f t="shared" si="4"/>
        <v>4</v>
      </c>
      <c r="Y17" s="87"/>
      <c r="Z17" s="56"/>
      <c r="AA17" s="57"/>
      <c r="AB17" s="57"/>
      <c r="AC17" s="57"/>
      <c r="AD17" s="58"/>
      <c r="AE17" s="59"/>
      <c r="AF17" s="61">
        <f t="shared" si="5"/>
        <v>0</v>
      </c>
      <c r="AG17" s="87"/>
      <c r="AH17" s="56"/>
      <c r="AI17" s="57"/>
      <c r="AJ17" s="57"/>
      <c r="AK17" s="57"/>
      <c r="AL17" s="58"/>
      <c r="AM17" s="58"/>
      <c r="AN17" s="59"/>
      <c r="AO17" s="40">
        <f t="shared" si="6"/>
        <v>0</v>
      </c>
    </row>
    <row r="18" spans="1:41" ht="21.75" customHeight="1" x14ac:dyDescent="0.25">
      <c r="A18" s="7" t="s">
        <v>11</v>
      </c>
      <c r="B18" s="33">
        <v>8615</v>
      </c>
      <c r="C18" s="7"/>
      <c r="D18" s="7"/>
      <c r="E18" s="17">
        <f t="shared" si="3"/>
        <v>0</v>
      </c>
      <c r="F18" s="7"/>
      <c r="G18" s="7"/>
      <c r="H18" s="17">
        <f t="shared" si="0"/>
        <v>0</v>
      </c>
      <c r="I18" s="37">
        <f t="shared" si="1"/>
        <v>0</v>
      </c>
      <c r="J18" s="56"/>
      <c r="K18" s="57"/>
      <c r="L18" s="57"/>
      <c r="M18" s="58"/>
      <c r="N18" s="58"/>
      <c r="O18" s="59"/>
      <c r="P18" s="60">
        <f t="shared" si="2"/>
        <v>0</v>
      </c>
      <c r="Q18" s="87"/>
      <c r="R18" s="62"/>
      <c r="S18" s="68"/>
      <c r="T18" s="68"/>
      <c r="U18" s="68"/>
      <c r="V18" s="69"/>
      <c r="W18" s="76"/>
      <c r="X18" s="61">
        <f t="shared" si="4"/>
        <v>0</v>
      </c>
      <c r="Y18" s="87"/>
      <c r="Z18" s="56"/>
      <c r="AA18" s="57"/>
      <c r="AB18" s="57"/>
      <c r="AC18" s="57"/>
      <c r="AD18" s="58"/>
      <c r="AE18" s="59"/>
      <c r="AF18" s="61">
        <f t="shared" si="5"/>
        <v>0</v>
      </c>
      <c r="AG18" s="87"/>
      <c r="AH18" s="56"/>
      <c r="AI18" s="57"/>
      <c r="AJ18" s="57"/>
      <c r="AK18" s="57"/>
      <c r="AL18" s="58"/>
      <c r="AM18" s="58"/>
      <c r="AN18" s="59"/>
      <c r="AO18" s="40">
        <f t="shared" si="6"/>
        <v>0</v>
      </c>
    </row>
    <row r="19" spans="1:41" ht="21.75" customHeight="1" x14ac:dyDescent="0.25">
      <c r="A19" s="7" t="s">
        <v>12</v>
      </c>
      <c r="B19" s="33">
        <v>8616</v>
      </c>
      <c r="C19" s="7">
        <v>9982</v>
      </c>
      <c r="D19" s="7">
        <f>+C19+10</f>
        <v>9992</v>
      </c>
      <c r="E19" s="17">
        <f t="shared" si="3"/>
        <v>10</v>
      </c>
      <c r="F19" s="7">
        <v>81569</v>
      </c>
      <c r="G19" s="7">
        <f>+F19+150</f>
        <v>81719</v>
      </c>
      <c r="H19" s="17">
        <f t="shared" si="0"/>
        <v>150</v>
      </c>
      <c r="I19" s="37">
        <f t="shared" si="1"/>
        <v>13</v>
      </c>
      <c r="J19" s="56">
        <v>6</v>
      </c>
      <c r="K19" s="57"/>
      <c r="L19" s="57"/>
      <c r="M19" s="58"/>
      <c r="N19" s="58"/>
      <c r="O19" s="59"/>
      <c r="P19" s="60">
        <f t="shared" si="2"/>
        <v>0</v>
      </c>
      <c r="Q19" s="87"/>
      <c r="R19" s="62">
        <v>1</v>
      </c>
      <c r="S19" s="68">
        <v>2</v>
      </c>
      <c r="T19" s="68">
        <v>1</v>
      </c>
      <c r="U19" s="68"/>
      <c r="V19" s="69"/>
      <c r="W19" s="76"/>
      <c r="X19" s="61">
        <f t="shared" si="4"/>
        <v>3</v>
      </c>
      <c r="Y19" s="87"/>
      <c r="Z19" s="56"/>
      <c r="AA19" s="57"/>
      <c r="AB19" s="57"/>
      <c r="AC19" s="57"/>
      <c r="AD19" s="58"/>
      <c r="AE19" s="59"/>
      <c r="AF19" s="61">
        <f t="shared" si="5"/>
        <v>0</v>
      </c>
      <c r="AG19" s="87"/>
      <c r="AH19" s="56">
        <v>1</v>
      </c>
      <c r="AI19" s="57"/>
      <c r="AJ19" s="57">
        <v>1</v>
      </c>
      <c r="AK19" s="57">
        <v>1</v>
      </c>
      <c r="AL19" s="58"/>
      <c r="AM19" s="58"/>
      <c r="AN19" s="59"/>
      <c r="AO19" s="40">
        <f t="shared" si="6"/>
        <v>2</v>
      </c>
    </row>
    <row r="20" spans="1:41" ht="21.75" customHeight="1" x14ac:dyDescent="0.25">
      <c r="A20" s="7" t="s">
        <v>13</v>
      </c>
      <c r="B20" s="33">
        <v>8617</v>
      </c>
      <c r="C20" s="7">
        <v>9108</v>
      </c>
      <c r="D20" s="7">
        <v>9120</v>
      </c>
      <c r="E20" s="17">
        <f t="shared" si="3"/>
        <v>12</v>
      </c>
      <c r="F20" s="7">
        <v>111112</v>
      </c>
      <c r="G20" s="7">
        <v>111265</v>
      </c>
      <c r="H20" s="17">
        <f t="shared" si="0"/>
        <v>153</v>
      </c>
      <c r="I20" s="37">
        <f t="shared" si="1"/>
        <v>11</v>
      </c>
      <c r="J20" s="56"/>
      <c r="K20" s="57"/>
      <c r="L20" s="57"/>
      <c r="M20" s="58"/>
      <c r="N20" s="58"/>
      <c r="O20" s="59"/>
      <c r="P20" s="60">
        <f t="shared" si="2"/>
        <v>0</v>
      </c>
      <c r="Q20" s="87"/>
      <c r="R20" s="62">
        <v>5</v>
      </c>
      <c r="S20" s="68">
        <v>4</v>
      </c>
      <c r="T20" s="68">
        <v>2</v>
      </c>
      <c r="U20" s="68"/>
      <c r="V20" s="69"/>
      <c r="W20" s="76"/>
      <c r="X20" s="61">
        <f t="shared" si="4"/>
        <v>6</v>
      </c>
      <c r="Y20" s="87"/>
      <c r="Z20" s="56"/>
      <c r="AA20" s="57"/>
      <c r="AB20" s="57"/>
      <c r="AC20" s="57"/>
      <c r="AD20" s="58"/>
      <c r="AE20" s="59"/>
      <c r="AF20" s="61">
        <f t="shared" si="5"/>
        <v>0</v>
      </c>
      <c r="AG20" s="87"/>
      <c r="AH20" s="56"/>
      <c r="AI20" s="57"/>
      <c r="AJ20" s="57"/>
      <c r="AK20" s="57"/>
      <c r="AL20" s="58"/>
      <c r="AM20" s="58"/>
      <c r="AN20" s="59"/>
      <c r="AO20" s="40">
        <f t="shared" si="6"/>
        <v>0</v>
      </c>
    </row>
    <row r="21" spans="1:41" ht="21.75" customHeight="1" x14ac:dyDescent="0.25">
      <c r="A21" s="7" t="s">
        <v>14</v>
      </c>
      <c r="B21" s="33">
        <v>8618</v>
      </c>
      <c r="C21" s="7"/>
      <c r="D21" s="7"/>
      <c r="E21" s="17">
        <f t="shared" si="3"/>
        <v>0</v>
      </c>
      <c r="F21" s="7"/>
      <c r="G21" s="7"/>
      <c r="H21" s="17">
        <f t="shared" si="0"/>
        <v>0</v>
      </c>
      <c r="I21" s="37">
        <f t="shared" si="1"/>
        <v>0</v>
      </c>
      <c r="J21" s="56"/>
      <c r="K21" s="57"/>
      <c r="L21" s="57"/>
      <c r="M21" s="58"/>
      <c r="N21" s="58"/>
      <c r="O21" s="59"/>
      <c r="P21" s="60">
        <f t="shared" si="2"/>
        <v>0</v>
      </c>
      <c r="Q21" s="87"/>
      <c r="R21" s="62"/>
      <c r="S21" s="68"/>
      <c r="T21" s="68"/>
      <c r="U21" s="68"/>
      <c r="V21" s="69"/>
      <c r="W21" s="76"/>
      <c r="X21" s="61">
        <f t="shared" si="4"/>
        <v>0</v>
      </c>
      <c r="Y21" s="87"/>
      <c r="Z21" s="56"/>
      <c r="AA21" s="57"/>
      <c r="AB21" s="57"/>
      <c r="AC21" s="57"/>
      <c r="AD21" s="58"/>
      <c r="AE21" s="59"/>
      <c r="AF21" s="61">
        <f t="shared" si="5"/>
        <v>0</v>
      </c>
      <c r="AG21" s="87"/>
      <c r="AH21" s="56"/>
      <c r="AI21" s="57"/>
      <c r="AJ21" s="57"/>
      <c r="AK21" s="57"/>
      <c r="AL21" s="58"/>
      <c r="AM21" s="58"/>
      <c r="AN21" s="59"/>
      <c r="AO21" s="40">
        <f t="shared" si="6"/>
        <v>0</v>
      </c>
    </row>
    <row r="22" spans="1:41" ht="21.75" customHeight="1" x14ac:dyDescent="0.25">
      <c r="A22" s="7" t="s">
        <v>15</v>
      </c>
      <c r="B22" s="33">
        <v>8619</v>
      </c>
      <c r="C22" s="7">
        <v>10389</v>
      </c>
      <c r="D22" s="7">
        <v>10401</v>
      </c>
      <c r="E22" s="17">
        <f t="shared" si="3"/>
        <v>12</v>
      </c>
      <c r="F22" s="7">
        <v>113625</v>
      </c>
      <c r="G22" s="7">
        <f>+F22+150</f>
        <v>113775</v>
      </c>
      <c r="H22" s="17">
        <f t="shared" si="0"/>
        <v>150</v>
      </c>
      <c r="I22" s="37">
        <f t="shared" si="1"/>
        <v>15</v>
      </c>
      <c r="J22" s="56"/>
      <c r="K22" s="57"/>
      <c r="L22" s="57"/>
      <c r="M22" s="58"/>
      <c r="N22" s="58"/>
      <c r="O22" s="59"/>
      <c r="P22" s="60">
        <f t="shared" si="2"/>
        <v>0</v>
      </c>
      <c r="Q22" s="87"/>
      <c r="R22" s="62">
        <v>9</v>
      </c>
      <c r="S22" s="68">
        <v>4</v>
      </c>
      <c r="T22" s="68">
        <v>2</v>
      </c>
      <c r="U22" s="68"/>
      <c r="V22" s="69"/>
      <c r="W22" s="76"/>
      <c r="X22" s="61">
        <f t="shared" si="4"/>
        <v>6</v>
      </c>
      <c r="Y22" s="87"/>
      <c r="Z22" s="56"/>
      <c r="AA22" s="57"/>
      <c r="AB22" s="57"/>
      <c r="AC22" s="57"/>
      <c r="AD22" s="58"/>
      <c r="AE22" s="59"/>
      <c r="AF22" s="61">
        <f t="shared" si="5"/>
        <v>0</v>
      </c>
      <c r="AG22" s="87"/>
      <c r="AH22" s="56"/>
      <c r="AI22" s="57"/>
      <c r="AJ22" s="57"/>
      <c r="AK22" s="57"/>
      <c r="AL22" s="58"/>
      <c r="AM22" s="58"/>
      <c r="AN22" s="59"/>
      <c r="AO22" s="40">
        <f t="shared" si="6"/>
        <v>0</v>
      </c>
    </row>
    <row r="23" spans="1:41" ht="21.75" customHeight="1" x14ac:dyDescent="0.25">
      <c r="A23" s="7" t="s">
        <v>16</v>
      </c>
      <c r="B23" s="33">
        <v>8620</v>
      </c>
      <c r="C23" s="7"/>
      <c r="D23" s="7"/>
      <c r="E23" s="17">
        <f t="shared" si="3"/>
        <v>0</v>
      </c>
      <c r="F23" s="7"/>
      <c r="G23" s="7"/>
      <c r="H23" s="17">
        <f t="shared" si="0"/>
        <v>0</v>
      </c>
      <c r="I23" s="37">
        <f t="shared" si="1"/>
        <v>0</v>
      </c>
      <c r="J23" s="56"/>
      <c r="K23" s="57"/>
      <c r="L23" s="57"/>
      <c r="M23" s="58"/>
      <c r="N23" s="58"/>
      <c r="O23" s="59"/>
      <c r="P23" s="60">
        <f t="shared" si="2"/>
        <v>0</v>
      </c>
      <c r="Q23" s="87"/>
      <c r="R23" s="62"/>
      <c r="S23" s="68"/>
      <c r="T23" s="68"/>
      <c r="U23" s="68"/>
      <c r="V23" s="69"/>
      <c r="W23" s="76"/>
      <c r="X23" s="61">
        <f t="shared" si="4"/>
        <v>0</v>
      </c>
      <c r="Y23" s="87"/>
      <c r="Z23" s="56"/>
      <c r="AA23" s="57"/>
      <c r="AB23" s="57"/>
      <c r="AC23" s="57"/>
      <c r="AD23" s="58"/>
      <c r="AE23" s="59"/>
      <c r="AF23" s="61">
        <f t="shared" si="5"/>
        <v>0</v>
      </c>
      <c r="AG23" s="87"/>
      <c r="AH23" s="56"/>
      <c r="AI23" s="57"/>
      <c r="AJ23" s="57"/>
      <c r="AK23" s="57"/>
      <c r="AL23" s="58"/>
      <c r="AM23" s="58"/>
      <c r="AN23" s="59"/>
      <c r="AO23" s="40">
        <f t="shared" si="6"/>
        <v>0</v>
      </c>
    </row>
    <row r="24" spans="1:41" ht="21.75" customHeight="1" x14ac:dyDescent="0.25">
      <c r="A24" s="7" t="s">
        <v>17</v>
      </c>
      <c r="B24" s="33">
        <v>8621</v>
      </c>
      <c r="C24" s="7"/>
      <c r="D24" s="7"/>
      <c r="E24" s="17">
        <f t="shared" si="3"/>
        <v>0</v>
      </c>
      <c r="F24" s="7"/>
      <c r="G24" s="7"/>
      <c r="H24" s="17">
        <f t="shared" si="0"/>
        <v>0</v>
      </c>
      <c r="I24" s="37">
        <f t="shared" si="1"/>
        <v>0</v>
      </c>
      <c r="J24" s="56"/>
      <c r="K24" s="57"/>
      <c r="L24" s="57"/>
      <c r="M24" s="58"/>
      <c r="N24" s="58"/>
      <c r="O24" s="59"/>
      <c r="P24" s="60">
        <f t="shared" si="2"/>
        <v>0</v>
      </c>
      <c r="Q24" s="87"/>
      <c r="R24" s="62"/>
      <c r="S24" s="68"/>
      <c r="T24" s="68"/>
      <c r="U24" s="68"/>
      <c r="V24" s="69"/>
      <c r="W24" s="76"/>
      <c r="X24" s="61">
        <f t="shared" si="4"/>
        <v>0</v>
      </c>
      <c r="Y24" s="87"/>
      <c r="Z24" s="56"/>
      <c r="AA24" s="57"/>
      <c r="AB24" s="57"/>
      <c r="AC24" s="57"/>
      <c r="AD24" s="58"/>
      <c r="AE24" s="59"/>
      <c r="AF24" s="61">
        <f t="shared" si="5"/>
        <v>0</v>
      </c>
      <c r="AG24" s="87"/>
      <c r="AH24" s="56"/>
      <c r="AI24" s="57"/>
      <c r="AJ24" s="57"/>
      <c r="AK24" s="57"/>
      <c r="AL24" s="58"/>
      <c r="AM24" s="58"/>
      <c r="AN24" s="59"/>
      <c r="AO24" s="40">
        <f t="shared" si="6"/>
        <v>0</v>
      </c>
    </row>
    <row r="25" spans="1:41" ht="21.75" customHeight="1" x14ac:dyDescent="0.25">
      <c r="A25" s="7" t="s">
        <v>18</v>
      </c>
      <c r="B25" s="33">
        <v>8622</v>
      </c>
      <c r="C25" s="7">
        <v>13682</v>
      </c>
      <c r="D25" s="7">
        <v>13691</v>
      </c>
      <c r="E25" s="17">
        <f t="shared" si="3"/>
        <v>9</v>
      </c>
      <c r="F25" s="7">
        <v>139513</v>
      </c>
      <c r="G25" s="7">
        <f>+F25+100</f>
        <v>139613</v>
      </c>
      <c r="H25" s="17">
        <f t="shared" si="0"/>
        <v>100</v>
      </c>
      <c r="I25" s="37">
        <f t="shared" si="1"/>
        <v>8</v>
      </c>
      <c r="J25" s="56">
        <v>8</v>
      </c>
      <c r="K25" s="57"/>
      <c r="L25" s="57"/>
      <c r="M25" s="58"/>
      <c r="N25" s="58"/>
      <c r="O25" s="63"/>
      <c r="P25" s="60">
        <f t="shared" si="2"/>
        <v>0</v>
      </c>
      <c r="Q25" s="87"/>
      <c r="R25" s="62"/>
      <c r="S25" s="68"/>
      <c r="T25" s="68"/>
      <c r="U25" s="68"/>
      <c r="V25" s="69"/>
      <c r="W25" s="76"/>
      <c r="X25" s="61">
        <f t="shared" si="4"/>
        <v>0</v>
      </c>
      <c r="Y25" s="87"/>
      <c r="Z25" s="56"/>
      <c r="AA25" s="57"/>
      <c r="AB25" s="57"/>
      <c r="AC25" s="57"/>
      <c r="AD25" s="58"/>
      <c r="AE25" s="59"/>
      <c r="AF25" s="61">
        <f t="shared" si="5"/>
        <v>0</v>
      </c>
      <c r="AG25" s="87"/>
      <c r="AH25" s="56"/>
      <c r="AI25" s="57"/>
      <c r="AJ25" s="57"/>
      <c r="AK25" s="57"/>
      <c r="AL25" s="58"/>
      <c r="AM25" s="58"/>
      <c r="AN25" s="59"/>
      <c r="AO25" s="40">
        <f t="shared" si="6"/>
        <v>0</v>
      </c>
    </row>
    <row r="26" spans="1:41" ht="21.75" customHeight="1" x14ac:dyDescent="0.25">
      <c r="A26" s="7" t="s">
        <v>19</v>
      </c>
      <c r="B26" s="33">
        <v>8623</v>
      </c>
      <c r="C26" s="7">
        <v>13678</v>
      </c>
      <c r="D26" s="7">
        <v>13690</v>
      </c>
      <c r="E26" s="17">
        <f t="shared" si="3"/>
        <v>12</v>
      </c>
      <c r="F26" s="7">
        <v>180079</v>
      </c>
      <c r="G26" s="7">
        <v>180245</v>
      </c>
      <c r="H26" s="17">
        <f t="shared" si="0"/>
        <v>166</v>
      </c>
      <c r="I26" s="37">
        <f t="shared" si="1"/>
        <v>10</v>
      </c>
      <c r="J26" s="56">
        <v>9</v>
      </c>
      <c r="K26" s="57"/>
      <c r="L26" s="57"/>
      <c r="M26" s="58"/>
      <c r="N26" s="64"/>
      <c r="O26" s="65"/>
      <c r="P26" s="60">
        <f t="shared" si="2"/>
        <v>0</v>
      </c>
      <c r="Q26" s="87"/>
      <c r="R26" s="62"/>
      <c r="S26" s="68">
        <v>1</v>
      </c>
      <c r="T26" s="68"/>
      <c r="U26" s="68"/>
      <c r="V26" s="69"/>
      <c r="W26" s="76"/>
      <c r="X26" s="61">
        <f t="shared" si="4"/>
        <v>1</v>
      </c>
      <c r="Y26" s="87"/>
      <c r="Z26" s="56"/>
      <c r="AA26" s="57"/>
      <c r="AB26" s="66"/>
      <c r="AC26" s="57"/>
      <c r="AD26" s="58"/>
      <c r="AE26" s="59"/>
      <c r="AF26" s="61">
        <f t="shared" si="5"/>
        <v>0</v>
      </c>
      <c r="AG26" s="87"/>
      <c r="AH26" s="56"/>
      <c r="AI26" s="67"/>
      <c r="AJ26" s="57"/>
      <c r="AK26" s="57"/>
      <c r="AL26" s="58"/>
      <c r="AM26" s="58"/>
      <c r="AN26" s="59"/>
      <c r="AO26" s="40">
        <f t="shared" si="6"/>
        <v>0</v>
      </c>
    </row>
    <row r="27" spans="1:41" ht="20.25" customHeight="1" x14ac:dyDescent="0.25">
      <c r="A27" s="7" t="s">
        <v>20</v>
      </c>
      <c r="B27" s="33">
        <v>8624</v>
      </c>
      <c r="C27" s="7">
        <v>5199</v>
      </c>
      <c r="D27" s="7">
        <v>5210</v>
      </c>
      <c r="E27" s="17">
        <f t="shared" si="3"/>
        <v>11</v>
      </c>
      <c r="F27" s="7">
        <v>234995</v>
      </c>
      <c r="G27" s="7">
        <v>235111</v>
      </c>
      <c r="H27" s="17">
        <f t="shared" si="0"/>
        <v>116</v>
      </c>
      <c r="I27" s="37">
        <f t="shared" si="1"/>
        <v>6</v>
      </c>
      <c r="J27" s="56"/>
      <c r="K27" s="68"/>
      <c r="L27" s="57"/>
      <c r="M27" s="58"/>
      <c r="N27" s="58"/>
      <c r="O27" s="59"/>
      <c r="P27" s="60">
        <f t="shared" si="2"/>
        <v>0</v>
      </c>
      <c r="Q27" s="87"/>
      <c r="R27" s="62"/>
      <c r="S27" s="68"/>
      <c r="T27" s="68"/>
      <c r="U27" s="68"/>
      <c r="V27" s="69"/>
      <c r="W27" s="76"/>
      <c r="X27" s="61">
        <f t="shared" si="4"/>
        <v>0</v>
      </c>
      <c r="Y27" s="87"/>
      <c r="Z27" s="56">
        <v>5</v>
      </c>
      <c r="AA27" s="57"/>
      <c r="AB27" s="57">
        <v>1</v>
      </c>
      <c r="AC27" s="57"/>
      <c r="AD27" s="58"/>
      <c r="AE27" s="59"/>
      <c r="AF27" s="61">
        <f t="shared" si="5"/>
        <v>1</v>
      </c>
      <c r="AG27" s="87"/>
      <c r="AH27" s="56"/>
      <c r="AI27" s="67"/>
      <c r="AJ27" s="57"/>
      <c r="AK27" s="57"/>
      <c r="AL27" s="58"/>
      <c r="AM27" s="58"/>
      <c r="AN27" s="59"/>
      <c r="AO27" s="40">
        <f t="shared" si="6"/>
        <v>0</v>
      </c>
    </row>
    <row r="28" spans="1:41" ht="21.75" customHeight="1" x14ac:dyDescent="0.25">
      <c r="A28" s="7" t="s">
        <v>21</v>
      </c>
      <c r="B28" s="33">
        <v>8625</v>
      </c>
      <c r="C28" s="7">
        <v>7297</v>
      </c>
      <c r="D28" s="7">
        <v>7309</v>
      </c>
      <c r="E28" s="17">
        <f t="shared" si="3"/>
        <v>12</v>
      </c>
      <c r="F28" s="7">
        <v>279326</v>
      </c>
      <c r="G28" s="7">
        <v>279475</v>
      </c>
      <c r="H28" s="17">
        <f t="shared" si="0"/>
        <v>149</v>
      </c>
      <c r="I28" s="37">
        <f t="shared" si="1"/>
        <v>7</v>
      </c>
      <c r="J28" s="56"/>
      <c r="K28" s="57"/>
      <c r="L28" s="57"/>
      <c r="M28" s="58"/>
      <c r="N28" s="58"/>
      <c r="O28" s="59"/>
      <c r="P28" s="60">
        <f t="shared" si="2"/>
        <v>0</v>
      </c>
      <c r="Q28" s="87"/>
      <c r="R28" s="62"/>
      <c r="S28" s="68"/>
      <c r="T28" s="68"/>
      <c r="U28" s="68"/>
      <c r="V28" s="69"/>
      <c r="W28" s="76"/>
      <c r="X28" s="61">
        <f t="shared" si="4"/>
        <v>0</v>
      </c>
      <c r="Y28" s="87"/>
      <c r="Z28" s="56"/>
      <c r="AA28" s="57"/>
      <c r="AB28" s="57"/>
      <c r="AC28" s="57"/>
      <c r="AD28" s="58"/>
      <c r="AE28" s="59"/>
      <c r="AF28" s="61">
        <f t="shared" si="5"/>
        <v>0</v>
      </c>
      <c r="AG28" s="87"/>
      <c r="AH28" s="56">
        <v>7</v>
      </c>
      <c r="AI28" s="67"/>
      <c r="AJ28" s="57"/>
      <c r="AK28" s="57"/>
      <c r="AL28" s="58"/>
      <c r="AM28" s="58"/>
      <c r="AN28" s="59"/>
      <c r="AO28" s="40">
        <f t="shared" si="6"/>
        <v>0</v>
      </c>
    </row>
    <row r="29" spans="1:41" ht="21.75" customHeight="1" x14ac:dyDescent="0.25">
      <c r="A29" s="7" t="s">
        <v>22</v>
      </c>
      <c r="B29" s="33">
        <v>8626</v>
      </c>
      <c r="C29" s="7"/>
      <c r="D29" s="7"/>
      <c r="E29" s="17">
        <f t="shared" si="3"/>
        <v>0</v>
      </c>
      <c r="F29" s="7"/>
      <c r="G29" s="7"/>
      <c r="H29" s="17">
        <f t="shared" si="0"/>
        <v>0</v>
      </c>
      <c r="I29" s="37">
        <f t="shared" si="1"/>
        <v>0</v>
      </c>
      <c r="J29" s="56"/>
      <c r="K29" s="57"/>
      <c r="L29" s="57"/>
      <c r="M29" s="58"/>
      <c r="N29" s="58"/>
      <c r="O29" s="59"/>
      <c r="P29" s="60">
        <f t="shared" si="2"/>
        <v>0</v>
      </c>
      <c r="Q29" s="87"/>
      <c r="R29" s="62"/>
      <c r="S29" s="68"/>
      <c r="T29" s="68"/>
      <c r="U29" s="68"/>
      <c r="V29" s="69"/>
      <c r="W29" s="76"/>
      <c r="X29" s="61">
        <f t="shared" si="4"/>
        <v>0</v>
      </c>
      <c r="Y29" s="87"/>
      <c r="Z29" s="56"/>
      <c r="AA29" s="57"/>
      <c r="AB29" s="57"/>
      <c r="AC29" s="57"/>
      <c r="AD29" s="58"/>
      <c r="AE29" s="59"/>
      <c r="AF29" s="61">
        <f t="shared" si="5"/>
        <v>0</v>
      </c>
      <c r="AG29" s="87"/>
      <c r="AH29" s="56"/>
      <c r="AI29" s="67"/>
      <c r="AJ29" s="57"/>
      <c r="AK29" s="57"/>
      <c r="AL29" s="58"/>
      <c r="AM29" s="58"/>
      <c r="AN29" s="59"/>
      <c r="AO29" s="40">
        <f t="shared" si="6"/>
        <v>0</v>
      </c>
    </row>
    <row r="30" spans="1:41" ht="21.75" customHeight="1" x14ac:dyDescent="0.25">
      <c r="A30" s="7" t="s">
        <v>23</v>
      </c>
      <c r="B30" s="33">
        <v>8627</v>
      </c>
      <c r="C30" s="7">
        <v>11311</v>
      </c>
      <c r="D30" s="7">
        <v>11322</v>
      </c>
      <c r="E30" s="17">
        <f t="shared" si="3"/>
        <v>11</v>
      </c>
      <c r="F30" s="7">
        <v>139751</v>
      </c>
      <c r="G30" s="7">
        <v>139896</v>
      </c>
      <c r="H30" s="17">
        <f t="shared" si="0"/>
        <v>145</v>
      </c>
      <c r="I30" s="37">
        <f t="shared" si="1"/>
        <v>14</v>
      </c>
      <c r="J30" s="56">
        <v>7</v>
      </c>
      <c r="K30" s="57"/>
      <c r="L30" s="57"/>
      <c r="M30" s="58"/>
      <c r="N30" s="58"/>
      <c r="O30" s="59"/>
      <c r="P30" s="60">
        <f t="shared" si="2"/>
        <v>0</v>
      </c>
      <c r="Q30" s="87"/>
      <c r="R30" s="62"/>
      <c r="S30" s="68"/>
      <c r="T30" s="68"/>
      <c r="U30" s="68"/>
      <c r="V30" s="69"/>
      <c r="W30" s="76"/>
      <c r="X30" s="61">
        <f t="shared" si="4"/>
        <v>0</v>
      </c>
      <c r="Y30" s="87"/>
      <c r="Z30" s="56"/>
      <c r="AA30" s="57"/>
      <c r="AB30" s="57"/>
      <c r="AC30" s="57"/>
      <c r="AD30" s="58"/>
      <c r="AE30" s="59"/>
      <c r="AF30" s="61">
        <f t="shared" si="5"/>
        <v>0</v>
      </c>
      <c r="AG30" s="87"/>
      <c r="AH30" s="56">
        <v>7</v>
      </c>
      <c r="AI30" s="67"/>
      <c r="AJ30" s="57"/>
      <c r="AK30" s="57"/>
      <c r="AL30" s="58"/>
      <c r="AM30" s="58"/>
      <c r="AN30" s="59"/>
      <c r="AO30" s="40">
        <f t="shared" si="6"/>
        <v>0</v>
      </c>
    </row>
    <row r="31" spans="1:41" ht="21.75" customHeight="1" x14ac:dyDescent="0.25">
      <c r="A31" s="7" t="s">
        <v>24</v>
      </c>
      <c r="B31" s="33">
        <v>8628</v>
      </c>
      <c r="C31" s="7">
        <v>10716.3</v>
      </c>
      <c r="D31" s="7">
        <f>+C31+10</f>
        <v>10726.3</v>
      </c>
      <c r="E31" s="17">
        <f t="shared" si="3"/>
        <v>10</v>
      </c>
      <c r="F31" s="7">
        <v>144227</v>
      </c>
      <c r="G31" s="7">
        <v>144419</v>
      </c>
      <c r="H31" s="17">
        <f t="shared" si="0"/>
        <v>192</v>
      </c>
      <c r="I31" s="37">
        <f t="shared" si="1"/>
        <v>12</v>
      </c>
      <c r="J31" s="56"/>
      <c r="K31" s="57"/>
      <c r="L31" s="57"/>
      <c r="M31" s="58"/>
      <c r="N31" s="58"/>
      <c r="O31" s="59"/>
      <c r="P31" s="60">
        <f t="shared" si="2"/>
        <v>0</v>
      </c>
      <c r="Q31" s="87"/>
      <c r="R31" s="62"/>
      <c r="S31" s="68"/>
      <c r="T31" s="68"/>
      <c r="U31" s="68"/>
      <c r="V31" s="69"/>
      <c r="W31" s="76"/>
      <c r="X31" s="61">
        <f t="shared" si="4"/>
        <v>0</v>
      </c>
      <c r="Y31" s="87"/>
      <c r="Z31" s="56">
        <v>9</v>
      </c>
      <c r="AA31" s="57"/>
      <c r="AB31" s="57">
        <v>3</v>
      </c>
      <c r="AC31" s="57"/>
      <c r="AD31" s="58"/>
      <c r="AE31" s="59"/>
      <c r="AF31" s="61">
        <f t="shared" si="5"/>
        <v>3</v>
      </c>
      <c r="AG31" s="87"/>
      <c r="AH31" s="56"/>
      <c r="AI31" s="67"/>
      <c r="AJ31" s="57"/>
      <c r="AK31" s="57"/>
      <c r="AL31" s="58"/>
      <c r="AM31" s="58"/>
      <c r="AN31" s="59"/>
      <c r="AO31" s="40">
        <f t="shared" si="6"/>
        <v>0</v>
      </c>
    </row>
    <row r="32" spans="1:41" ht="21.75" customHeight="1" x14ac:dyDescent="0.25">
      <c r="A32" s="7" t="s">
        <v>25</v>
      </c>
      <c r="B32" s="33">
        <v>8629</v>
      </c>
      <c r="C32" s="7">
        <v>11145</v>
      </c>
      <c r="D32" s="7">
        <v>11157</v>
      </c>
      <c r="E32" s="17">
        <f t="shared" si="3"/>
        <v>12</v>
      </c>
      <c r="F32" s="7">
        <v>145296</v>
      </c>
      <c r="G32" s="7">
        <v>145438</v>
      </c>
      <c r="H32" s="17">
        <f t="shared" si="0"/>
        <v>142</v>
      </c>
      <c r="I32" s="37">
        <f t="shared" si="1"/>
        <v>7</v>
      </c>
      <c r="J32" s="56"/>
      <c r="K32" s="57"/>
      <c r="L32" s="57"/>
      <c r="M32" s="58"/>
      <c r="N32" s="58"/>
      <c r="O32" s="59"/>
      <c r="P32" s="60">
        <f t="shared" si="2"/>
        <v>0</v>
      </c>
      <c r="Q32" s="87"/>
      <c r="R32" s="62"/>
      <c r="S32" s="68"/>
      <c r="T32" s="68"/>
      <c r="U32" s="68"/>
      <c r="V32" s="69"/>
      <c r="W32" s="76"/>
      <c r="X32" s="61">
        <f t="shared" si="4"/>
        <v>0</v>
      </c>
      <c r="Y32" s="87"/>
      <c r="Z32" s="56"/>
      <c r="AA32" s="57"/>
      <c r="AB32" s="57"/>
      <c r="AC32" s="57"/>
      <c r="AD32" s="58"/>
      <c r="AE32" s="59"/>
      <c r="AF32" s="61">
        <f t="shared" si="5"/>
        <v>0</v>
      </c>
      <c r="AG32" s="87"/>
      <c r="AH32" s="56">
        <v>7</v>
      </c>
      <c r="AI32" s="67"/>
      <c r="AJ32" s="57"/>
      <c r="AK32" s="57"/>
      <c r="AL32" s="58"/>
      <c r="AM32" s="58"/>
      <c r="AN32" s="59"/>
      <c r="AO32" s="40">
        <f t="shared" si="6"/>
        <v>0</v>
      </c>
    </row>
    <row r="33" spans="1:41" ht="21.75" customHeight="1" x14ac:dyDescent="0.25">
      <c r="A33" s="7" t="s">
        <v>26</v>
      </c>
      <c r="B33" s="33">
        <v>8630</v>
      </c>
      <c r="C33" s="7">
        <v>5989.4</v>
      </c>
      <c r="D33" s="7">
        <f>+C33+10</f>
        <v>5999.4</v>
      </c>
      <c r="E33" s="17">
        <f t="shared" si="3"/>
        <v>10</v>
      </c>
      <c r="F33" s="7">
        <v>75265</v>
      </c>
      <c r="G33" s="7">
        <v>75368</v>
      </c>
      <c r="H33" s="17">
        <f t="shared" si="0"/>
        <v>103</v>
      </c>
      <c r="I33" s="37">
        <f t="shared" si="1"/>
        <v>5</v>
      </c>
      <c r="J33" s="56"/>
      <c r="K33" s="57"/>
      <c r="L33" s="57"/>
      <c r="M33" s="58"/>
      <c r="N33" s="58"/>
      <c r="O33" s="59"/>
      <c r="P33" s="60">
        <f t="shared" si="2"/>
        <v>0</v>
      </c>
      <c r="Q33" s="87"/>
      <c r="R33" s="62"/>
      <c r="S33" s="68"/>
      <c r="T33" s="68"/>
      <c r="U33" s="68"/>
      <c r="V33" s="69"/>
      <c r="W33" s="76"/>
      <c r="X33" s="61">
        <f t="shared" si="4"/>
        <v>0</v>
      </c>
      <c r="Y33" s="87"/>
      <c r="Z33" s="56">
        <v>5</v>
      </c>
      <c r="AA33" s="57"/>
      <c r="AB33" s="57"/>
      <c r="AC33" s="57"/>
      <c r="AD33" s="58"/>
      <c r="AE33" s="59"/>
      <c r="AF33" s="61">
        <f t="shared" si="5"/>
        <v>0</v>
      </c>
      <c r="AG33" s="87"/>
      <c r="AH33" s="56"/>
      <c r="AI33" s="67"/>
      <c r="AJ33" s="57"/>
      <c r="AK33" s="57"/>
      <c r="AL33" s="58"/>
      <c r="AM33" s="58"/>
      <c r="AN33" s="59"/>
      <c r="AO33" s="40">
        <f t="shared" si="6"/>
        <v>0</v>
      </c>
    </row>
    <row r="34" spans="1:41" ht="21.75" customHeight="1" x14ac:dyDescent="0.25">
      <c r="A34" s="7" t="s">
        <v>27</v>
      </c>
      <c r="B34" s="33">
        <v>8632</v>
      </c>
      <c r="C34" s="7">
        <v>9130.2999999999993</v>
      </c>
      <c r="D34" s="7">
        <v>9137.7999999999993</v>
      </c>
      <c r="E34" s="17">
        <f t="shared" si="3"/>
        <v>7.5</v>
      </c>
      <c r="F34" s="7">
        <v>90258</v>
      </c>
      <c r="G34" s="7">
        <f>+F34+90</f>
        <v>90348</v>
      </c>
      <c r="H34" s="17">
        <f t="shared" si="0"/>
        <v>90</v>
      </c>
      <c r="I34" s="37">
        <f t="shared" si="1"/>
        <v>5</v>
      </c>
      <c r="J34" s="109"/>
      <c r="K34" s="110"/>
      <c r="L34" s="110"/>
      <c r="M34" s="111"/>
      <c r="N34" s="111"/>
      <c r="O34" s="112"/>
      <c r="P34" s="60">
        <f t="shared" si="2"/>
        <v>0</v>
      </c>
      <c r="Q34" s="87"/>
      <c r="R34" s="62"/>
      <c r="S34" s="68"/>
      <c r="T34" s="68"/>
      <c r="U34" s="68"/>
      <c r="V34" s="69"/>
      <c r="W34" s="76"/>
      <c r="X34" s="61">
        <f t="shared" si="4"/>
        <v>0</v>
      </c>
      <c r="Y34" s="87"/>
      <c r="Z34" s="56">
        <v>5</v>
      </c>
      <c r="AA34" s="57"/>
      <c r="AB34" s="57"/>
      <c r="AC34" s="57"/>
      <c r="AD34" s="58"/>
      <c r="AE34" s="59"/>
      <c r="AF34" s="61">
        <f t="shared" si="5"/>
        <v>0</v>
      </c>
      <c r="AG34" s="87"/>
      <c r="AH34" s="56"/>
      <c r="AI34" s="67"/>
      <c r="AJ34" s="57"/>
      <c r="AK34" s="57"/>
      <c r="AL34" s="58"/>
      <c r="AM34" s="58"/>
      <c r="AN34" s="59"/>
      <c r="AO34" s="40">
        <f t="shared" si="6"/>
        <v>0</v>
      </c>
    </row>
    <row r="35" spans="1:41" ht="21.75" customHeight="1" x14ac:dyDescent="0.25">
      <c r="A35" s="7" t="s">
        <v>34</v>
      </c>
      <c r="B35" s="33">
        <v>8633</v>
      </c>
      <c r="C35" s="7">
        <v>7983.5</v>
      </c>
      <c r="D35" s="7">
        <v>7994.7</v>
      </c>
      <c r="E35" s="17">
        <f t="shared" si="3"/>
        <v>11.199999999999818</v>
      </c>
      <c r="F35" s="7">
        <v>279265</v>
      </c>
      <c r="G35" s="7">
        <f>+F35+120</f>
        <v>279385</v>
      </c>
      <c r="H35" s="17">
        <f t="shared" si="0"/>
        <v>120</v>
      </c>
      <c r="I35" s="37">
        <f t="shared" si="1"/>
        <v>8</v>
      </c>
      <c r="J35" s="56"/>
      <c r="K35" s="57"/>
      <c r="L35" s="57"/>
      <c r="M35" s="58"/>
      <c r="N35" s="58"/>
      <c r="O35" s="59"/>
      <c r="P35" s="60">
        <f t="shared" si="2"/>
        <v>0</v>
      </c>
      <c r="Q35" s="87"/>
      <c r="R35" s="62"/>
      <c r="S35" s="68"/>
      <c r="T35" s="68"/>
      <c r="U35" s="68"/>
      <c r="V35" s="69"/>
      <c r="W35" s="76"/>
      <c r="X35" s="61">
        <f t="shared" si="4"/>
        <v>0</v>
      </c>
      <c r="Y35" s="87"/>
      <c r="Z35" s="56">
        <v>5</v>
      </c>
      <c r="AA35" s="57">
        <v>1</v>
      </c>
      <c r="AB35" s="57">
        <v>2</v>
      </c>
      <c r="AC35" s="57"/>
      <c r="AD35" s="58"/>
      <c r="AE35" s="59"/>
      <c r="AF35" s="61">
        <f t="shared" si="5"/>
        <v>3</v>
      </c>
      <c r="AG35" s="87"/>
      <c r="AH35" s="56"/>
      <c r="AI35" s="67"/>
      <c r="AJ35" s="57"/>
      <c r="AK35" s="57"/>
      <c r="AL35" s="58"/>
      <c r="AM35" s="58"/>
      <c r="AN35" s="59"/>
      <c r="AO35" s="40">
        <f t="shared" si="6"/>
        <v>0</v>
      </c>
    </row>
    <row r="36" spans="1:41" ht="21.75" customHeight="1" x14ac:dyDescent="0.25">
      <c r="A36" s="7" t="s">
        <v>33</v>
      </c>
      <c r="B36" s="34">
        <v>8644</v>
      </c>
      <c r="C36" s="7"/>
      <c r="D36" s="7"/>
      <c r="E36" s="17">
        <f t="shared" si="3"/>
        <v>0</v>
      </c>
      <c r="F36" s="7"/>
      <c r="G36" s="7"/>
      <c r="H36" s="17">
        <f t="shared" si="0"/>
        <v>0</v>
      </c>
      <c r="I36" s="91">
        <f t="shared" si="1"/>
        <v>0</v>
      </c>
      <c r="J36" s="56"/>
      <c r="K36" s="57"/>
      <c r="L36" s="57"/>
      <c r="M36" s="58"/>
      <c r="N36" s="58"/>
      <c r="O36" s="59"/>
      <c r="P36" s="60">
        <f t="shared" si="2"/>
        <v>0</v>
      </c>
      <c r="Q36" s="87"/>
      <c r="R36" s="62"/>
      <c r="S36" s="68"/>
      <c r="T36" s="68"/>
      <c r="U36" s="68"/>
      <c r="V36" s="69"/>
      <c r="W36" s="76"/>
      <c r="X36" s="61">
        <f t="shared" si="4"/>
        <v>0</v>
      </c>
      <c r="Y36" s="87"/>
      <c r="Z36" s="56"/>
      <c r="AA36" s="57"/>
      <c r="AB36" s="57"/>
      <c r="AC36" s="57"/>
      <c r="AD36" s="58"/>
      <c r="AE36" s="59"/>
      <c r="AF36" s="61">
        <f t="shared" si="5"/>
        <v>0</v>
      </c>
      <c r="AG36" s="87"/>
      <c r="AH36" s="56"/>
      <c r="AI36" s="67"/>
      <c r="AJ36" s="57"/>
      <c r="AK36" s="57"/>
      <c r="AL36" s="58"/>
      <c r="AM36" s="58"/>
      <c r="AN36" s="59"/>
      <c r="AO36" s="40">
        <f t="shared" si="6"/>
        <v>0</v>
      </c>
    </row>
    <row r="37" spans="1:41" ht="21.75" customHeight="1" x14ac:dyDescent="0.25">
      <c r="A37" s="7" t="s">
        <v>33</v>
      </c>
      <c r="B37" s="34">
        <v>8645</v>
      </c>
      <c r="C37" s="7">
        <v>10446.799999999999</v>
      </c>
      <c r="D37" s="7">
        <v>10454.700000000001</v>
      </c>
      <c r="E37" s="17">
        <f t="shared" si="3"/>
        <v>7.9000000000014552</v>
      </c>
      <c r="F37" s="7">
        <v>146780</v>
      </c>
      <c r="G37" s="7">
        <v>146909</v>
      </c>
      <c r="H37" s="17">
        <f t="shared" si="0"/>
        <v>129</v>
      </c>
      <c r="I37" s="91">
        <f t="shared" si="1"/>
        <v>5</v>
      </c>
      <c r="J37" s="56"/>
      <c r="K37" s="68"/>
      <c r="L37" s="68"/>
      <c r="M37" s="69"/>
      <c r="N37" s="69"/>
      <c r="O37" s="59"/>
      <c r="P37" s="60">
        <f t="shared" si="2"/>
        <v>0</v>
      </c>
      <c r="Q37" s="87"/>
      <c r="R37" s="62"/>
      <c r="S37" s="68"/>
      <c r="T37" s="68"/>
      <c r="U37" s="68"/>
      <c r="V37" s="69"/>
      <c r="W37" s="76"/>
      <c r="X37" s="61">
        <f t="shared" si="4"/>
        <v>0</v>
      </c>
      <c r="Y37" s="87"/>
      <c r="Z37" s="56"/>
      <c r="AA37" s="57"/>
      <c r="AB37" s="57"/>
      <c r="AC37" s="57"/>
      <c r="AD37" s="58"/>
      <c r="AE37" s="59"/>
      <c r="AF37" s="61">
        <f t="shared" si="5"/>
        <v>0</v>
      </c>
      <c r="AG37" s="87"/>
      <c r="AH37" s="56">
        <v>5</v>
      </c>
      <c r="AI37" s="67"/>
      <c r="AJ37" s="57"/>
      <c r="AK37" s="57"/>
      <c r="AL37" s="58"/>
      <c r="AM37" s="58"/>
      <c r="AN37" s="59"/>
      <c r="AO37" s="40">
        <f t="shared" si="6"/>
        <v>0</v>
      </c>
    </row>
    <row r="38" spans="1:41" ht="21.75" customHeight="1" x14ac:dyDescent="0.25">
      <c r="A38" s="7" t="s">
        <v>28</v>
      </c>
      <c r="B38" s="33">
        <v>8651</v>
      </c>
      <c r="C38" s="7">
        <v>6315</v>
      </c>
      <c r="D38" s="7">
        <v>6321</v>
      </c>
      <c r="E38" s="17">
        <f t="shared" si="3"/>
        <v>6</v>
      </c>
      <c r="F38" s="7">
        <v>81298</v>
      </c>
      <c r="G38" s="7">
        <v>81444</v>
      </c>
      <c r="H38" s="17">
        <f t="shared" si="0"/>
        <v>146</v>
      </c>
      <c r="I38" s="91">
        <f t="shared" si="1"/>
        <v>7</v>
      </c>
      <c r="J38" s="62"/>
      <c r="K38" s="57"/>
      <c r="L38" s="57"/>
      <c r="M38" s="58"/>
      <c r="N38" s="58"/>
      <c r="O38" s="59"/>
      <c r="P38" s="60">
        <f t="shared" si="2"/>
        <v>0</v>
      </c>
      <c r="Q38" s="87"/>
      <c r="R38" s="62"/>
      <c r="S38" s="68"/>
      <c r="T38" s="68"/>
      <c r="U38" s="68"/>
      <c r="V38" s="69"/>
      <c r="W38" s="76"/>
      <c r="X38" s="61">
        <f t="shared" si="4"/>
        <v>0</v>
      </c>
      <c r="Y38" s="87"/>
      <c r="Z38" s="56"/>
      <c r="AA38" s="57"/>
      <c r="AB38" s="57"/>
      <c r="AC38" s="57"/>
      <c r="AD38" s="58"/>
      <c r="AE38" s="59"/>
      <c r="AF38" s="61">
        <f t="shared" si="5"/>
        <v>0</v>
      </c>
      <c r="AG38" s="87"/>
      <c r="AH38" s="56">
        <v>7</v>
      </c>
      <c r="AI38" s="67"/>
      <c r="AJ38" s="57"/>
      <c r="AK38" s="57"/>
      <c r="AL38" s="58"/>
      <c r="AM38" s="58"/>
      <c r="AN38" s="59"/>
      <c r="AO38" s="40">
        <f t="shared" si="6"/>
        <v>0</v>
      </c>
    </row>
    <row r="39" spans="1:41" ht="21.75" customHeight="1" thickBot="1" x14ac:dyDescent="0.3">
      <c r="A39" s="8" t="s">
        <v>29</v>
      </c>
      <c r="B39" s="81">
        <v>8652</v>
      </c>
      <c r="C39" s="8">
        <v>5865.3</v>
      </c>
      <c r="D39" s="8">
        <v>5875</v>
      </c>
      <c r="E39" s="17">
        <f t="shared" si="3"/>
        <v>9.6999999999998181</v>
      </c>
      <c r="F39" s="8">
        <v>75186</v>
      </c>
      <c r="G39" s="8">
        <v>75346</v>
      </c>
      <c r="H39" s="82">
        <f t="shared" si="0"/>
        <v>160</v>
      </c>
      <c r="I39" s="92">
        <f t="shared" si="1"/>
        <v>11</v>
      </c>
      <c r="J39" s="70"/>
      <c r="K39" s="71"/>
      <c r="L39" s="71"/>
      <c r="M39" s="72"/>
      <c r="N39" s="72"/>
      <c r="O39" s="73"/>
      <c r="P39" s="74">
        <f t="shared" si="2"/>
        <v>0</v>
      </c>
      <c r="Q39" s="87"/>
      <c r="R39" s="77"/>
      <c r="S39" s="78"/>
      <c r="T39" s="78"/>
      <c r="U39" s="78"/>
      <c r="V39" s="79"/>
      <c r="W39" s="80"/>
      <c r="X39" s="93">
        <f t="shared" si="4"/>
        <v>0</v>
      </c>
      <c r="Y39" s="87"/>
      <c r="Z39" s="70">
        <v>6</v>
      </c>
      <c r="AA39" s="71">
        <v>1</v>
      </c>
      <c r="AB39" s="71">
        <v>4</v>
      </c>
      <c r="AC39" s="71"/>
      <c r="AD39" s="72"/>
      <c r="AE39" s="73"/>
      <c r="AF39" s="93">
        <f t="shared" si="5"/>
        <v>5</v>
      </c>
      <c r="AG39" s="87"/>
      <c r="AH39" s="70"/>
      <c r="AI39" s="75"/>
      <c r="AJ39" s="71"/>
      <c r="AK39" s="71"/>
      <c r="AL39" s="72"/>
      <c r="AM39" s="72"/>
      <c r="AN39" s="73"/>
      <c r="AO39" s="41">
        <f t="shared" si="6"/>
        <v>0</v>
      </c>
    </row>
    <row r="40" spans="1:41" ht="24.75" customHeight="1" x14ac:dyDescent="0.25">
      <c r="I40" s="89">
        <f>SUM(I4:I39)</f>
        <v>234</v>
      </c>
      <c r="J40" s="88">
        <f>SUM(J4:J39)</f>
        <v>91</v>
      </c>
      <c r="K40" s="88">
        <f>SUM(K4:K39)</f>
        <v>0</v>
      </c>
      <c r="L40" s="88">
        <f>SUM(L4:L39)</f>
        <v>0</v>
      </c>
      <c r="M40" s="88">
        <f t="shared" ref="M40" si="7">SUM(M4:M39)</f>
        <v>0</v>
      </c>
      <c r="N40" s="88">
        <f>SUM(N4:N39)</f>
        <v>0</v>
      </c>
      <c r="O40" s="88">
        <f>SUM(O4:O39)</f>
        <v>0</v>
      </c>
      <c r="P40" s="113">
        <f>SUM(J40:O40)</f>
        <v>91</v>
      </c>
      <c r="R40" s="108">
        <f t="shared" ref="R40:W40" si="8">SUM(R4:R39)</f>
        <v>26</v>
      </c>
      <c r="S40" s="83">
        <f t="shared" si="8"/>
        <v>18</v>
      </c>
      <c r="T40" s="83">
        <f t="shared" si="8"/>
        <v>8</v>
      </c>
      <c r="U40" s="83">
        <f t="shared" si="8"/>
        <v>2</v>
      </c>
      <c r="V40" s="83">
        <f t="shared" si="8"/>
        <v>0</v>
      </c>
      <c r="W40" s="83">
        <f t="shared" si="8"/>
        <v>0</v>
      </c>
      <c r="X40" s="114">
        <f>SUM(R40:W40)</f>
        <v>54</v>
      </c>
      <c r="Z40" s="94">
        <f t="shared" ref="Z40:AE40" si="9">SUM(Z4:Z39)</f>
        <v>35</v>
      </c>
      <c r="AA40" s="83">
        <f t="shared" si="9"/>
        <v>2</v>
      </c>
      <c r="AB40" s="83">
        <f t="shared" si="9"/>
        <v>16</v>
      </c>
      <c r="AC40" s="83">
        <f t="shared" si="9"/>
        <v>0</v>
      </c>
      <c r="AD40" s="83">
        <f t="shared" si="9"/>
        <v>0</v>
      </c>
      <c r="AE40" s="83">
        <f t="shared" si="9"/>
        <v>0</v>
      </c>
      <c r="AF40" s="114">
        <f>SUM(Z40:AE40)</f>
        <v>53</v>
      </c>
      <c r="AH40" s="94">
        <f>SUM(AH4:AH39)</f>
        <v>34</v>
      </c>
      <c r="AI40" s="83">
        <f t="shared" ref="AI40:AN40" si="10">SUM(AI4:AI39)</f>
        <v>0</v>
      </c>
      <c r="AJ40" s="83">
        <f t="shared" si="10"/>
        <v>1</v>
      </c>
      <c r="AK40" s="83">
        <f t="shared" si="10"/>
        <v>1</v>
      </c>
      <c r="AL40" s="83">
        <f t="shared" si="10"/>
        <v>0</v>
      </c>
      <c r="AM40" s="83">
        <f t="shared" si="10"/>
        <v>0</v>
      </c>
      <c r="AN40" s="83">
        <f t="shared" si="10"/>
        <v>0</v>
      </c>
      <c r="AO40" s="115">
        <f>SUM(AH40:AN40)</f>
        <v>36</v>
      </c>
    </row>
    <row r="41" spans="1:41" ht="24.75" customHeight="1" x14ac:dyDescent="0.25">
      <c r="H41" t="s">
        <v>46</v>
      </c>
      <c r="I41" s="38"/>
      <c r="J41" s="1">
        <f>SUM(J4:J23)*25</f>
        <v>1675</v>
      </c>
      <c r="K41" s="1">
        <f t="shared" ref="K41:W41" si="11">SUM(K4:K23)*25</f>
        <v>0</v>
      </c>
      <c r="L41" s="1">
        <f t="shared" si="11"/>
        <v>0</v>
      </c>
      <c r="M41" s="1">
        <f t="shared" si="11"/>
        <v>0</v>
      </c>
      <c r="N41" s="1">
        <f t="shared" si="11"/>
        <v>0</v>
      </c>
      <c r="O41" s="1">
        <f t="shared" si="11"/>
        <v>0</v>
      </c>
      <c r="P41" s="51">
        <f>SUM(P4:P23)*25</f>
        <v>0</v>
      </c>
      <c r="R41" s="27">
        <f t="shared" si="11"/>
        <v>650</v>
      </c>
      <c r="S41" s="1">
        <f t="shared" si="11"/>
        <v>425</v>
      </c>
      <c r="T41" s="1">
        <f t="shared" si="11"/>
        <v>200</v>
      </c>
      <c r="U41" s="1">
        <f t="shared" si="11"/>
        <v>50</v>
      </c>
      <c r="V41" s="1">
        <f t="shared" si="11"/>
        <v>0</v>
      </c>
      <c r="W41" s="1">
        <f t="shared" si="11"/>
        <v>0</v>
      </c>
      <c r="X41" s="36">
        <f>SUM(X4:X23)*25</f>
        <v>675</v>
      </c>
      <c r="Z41" s="2">
        <f t="shared" ref="Z41:AF41" si="12">SUM(Z4:Z23)*25</f>
        <v>0</v>
      </c>
      <c r="AA41" s="1">
        <f t="shared" si="12"/>
        <v>0</v>
      </c>
      <c r="AB41" s="1">
        <f t="shared" si="12"/>
        <v>150</v>
      </c>
      <c r="AC41" s="1">
        <f t="shared" si="12"/>
        <v>0</v>
      </c>
      <c r="AD41" s="1">
        <f t="shared" si="12"/>
        <v>0</v>
      </c>
      <c r="AE41" s="1">
        <f t="shared" si="12"/>
        <v>0</v>
      </c>
      <c r="AF41" s="36">
        <f t="shared" si="12"/>
        <v>150</v>
      </c>
      <c r="AH41" s="2">
        <f t="shared" ref="AH41:AN41" si="13">SUM(AH4:AH23)*25</f>
        <v>25</v>
      </c>
      <c r="AI41" s="1">
        <f t="shared" si="13"/>
        <v>0</v>
      </c>
      <c r="AJ41" s="1">
        <f t="shared" si="13"/>
        <v>25</v>
      </c>
      <c r="AK41" s="1">
        <f t="shared" si="13"/>
        <v>25</v>
      </c>
      <c r="AL41" s="1">
        <f t="shared" si="13"/>
        <v>0</v>
      </c>
      <c r="AM41" s="1">
        <f t="shared" si="13"/>
        <v>0</v>
      </c>
      <c r="AN41" s="1">
        <f t="shared" si="13"/>
        <v>0</v>
      </c>
      <c r="AO41" s="36">
        <f>SUM(AO4:AO23)*25</f>
        <v>50</v>
      </c>
    </row>
    <row r="42" spans="1:41" ht="24.75" customHeight="1" x14ac:dyDescent="0.25">
      <c r="H42" t="s">
        <v>47</v>
      </c>
      <c r="I42" s="38"/>
      <c r="J42" s="1">
        <f>SUM(J24:J39)*20</f>
        <v>480</v>
      </c>
      <c r="K42" s="1">
        <f>SUM(K24:K39)*20</f>
        <v>0</v>
      </c>
      <c r="L42" s="1">
        <f>SUM(L24:L39)*20</f>
        <v>0</v>
      </c>
      <c r="M42" s="1">
        <f t="shared" ref="M42:X42" si="14">SUM(M24:M39)*20</f>
        <v>0</v>
      </c>
      <c r="N42" s="1">
        <f t="shared" si="14"/>
        <v>0</v>
      </c>
      <c r="O42" s="1">
        <f t="shared" si="14"/>
        <v>0</v>
      </c>
      <c r="P42" s="51">
        <f t="shared" si="14"/>
        <v>0</v>
      </c>
      <c r="R42" s="27">
        <f t="shared" si="14"/>
        <v>0</v>
      </c>
      <c r="S42" s="1">
        <f t="shared" si="14"/>
        <v>20</v>
      </c>
      <c r="T42" s="1">
        <f t="shared" si="14"/>
        <v>0</v>
      </c>
      <c r="U42" s="1">
        <f t="shared" si="14"/>
        <v>0</v>
      </c>
      <c r="V42" s="1">
        <f t="shared" si="14"/>
        <v>0</v>
      </c>
      <c r="W42" s="1">
        <f t="shared" si="14"/>
        <v>0</v>
      </c>
      <c r="X42" s="36">
        <f t="shared" si="14"/>
        <v>20</v>
      </c>
      <c r="Z42" s="2">
        <f t="shared" ref="Z42:AF42" si="15">SUM(Z24:Z39)*20</f>
        <v>700</v>
      </c>
      <c r="AA42" s="1">
        <f t="shared" si="15"/>
        <v>40</v>
      </c>
      <c r="AB42" s="1">
        <f t="shared" si="15"/>
        <v>200</v>
      </c>
      <c r="AC42" s="1">
        <f t="shared" si="15"/>
        <v>0</v>
      </c>
      <c r="AD42" s="1">
        <f t="shared" si="15"/>
        <v>0</v>
      </c>
      <c r="AE42" s="1">
        <f t="shared" si="15"/>
        <v>0</v>
      </c>
      <c r="AF42" s="36">
        <f t="shared" si="15"/>
        <v>240</v>
      </c>
      <c r="AH42" s="2">
        <f t="shared" ref="AH42:AN42" si="16">SUM(AH24:AH39)*20</f>
        <v>660</v>
      </c>
      <c r="AI42" s="1">
        <f t="shared" si="16"/>
        <v>0</v>
      </c>
      <c r="AJ42" s="1">
        <f t="shared" si="16"/>
        <v>0</v>
      </c>
      <c r="AK42" s="1">
        <f t="shared" si="16"/>
        <v>0</v>
      </c>
      <c r="AL42" s="1">
        <f t="shared" si="16"/>
        <v>0</v>
      </c>
      <c r="AM42" s="1">
        <f t="shared" si="16"/>
        <v>0</v>
      </c>
      <c r="AN42" s="1">
        <f t="shared" si="16"/>
        <v>0</v>
      </c>
      <c r="AO42" s="36">
        <f>SUM(AO24:AO39)*20</f>
        <v>0</v>
      </c>
    </row>
    <row r="43" spans="1:41" ht="24.75" customHeight="1" thickBot="1" x14ac:dyDescent="0.3">
      <c r="I43" s="144" t="s">
        <v>35</v>
      </c>
      <c r="J43" s="145"/>
      <c r="K43" s="145">
        <f>SUM(J41:N42)</f>
        <v>2155</v>
      </c>
      <c r="L43" s="145"/>
      <c r="M43" s="145"/>
      <c r="N43" s="145"/>
      <c r="O43" s="145"/>
      <c r="P43" s="86"/>
      <c r="Q43" s="32"/>
      <c r="R43" s="144">
        <f>SUM(R41:W42)</f>
        <v>1345</v>
      </c>
      <c r="S43" s="145"/>
      <c r="T43" s="145"/>
      <c r="U43" s="145"/>
      <c r="V43" s="145"/>
      <c r="W43" s="145"/>
      <c r="X43" s="85"/>
      <c r="Y43" s="32"/>
      <c r="Z43" s="144">
        <f>SUM(Z41:AE42)</f>
        <v>1090</v>
      </c>
      <c r="AA43" s="145"/>
      <c r="AB43" s="145"/>
      <c r="AC43" s="145"/>
      <c r="AD43" s="145"/>
      <c r="AE43" s="145"/>
      <c r="AF43" s="85"/>
      <c r="AG43" s="32"/>
      <c r="AH43" s="144">
        <f>SUM(AH41:AN42)</f>
        <v>735</v>
      </c>
      <c r="AI43" s="145"/>
      <c r="AJ43" s="145"/>
      <c r="AK43" s="145"/>
      <c r="AL43" s="145"/>
      <c r="AM43" s="145"/>
      <c r="AN43" s="145"/>
      <c r="AO43" s="96">
        <f>SUM(K43:AN43)</f>
        <v>5325</v>
      </c>
    </row>
    <row r="44" spans="1:41" ht="24.75" customHeight="1" x14ac:dyDescent="0.25">
      <c r="R44">
        <v>5.8</v>
      </c>
      <c r="S44">
        <v>6.2</v>
      </c>
      <c r="Z44">
        <v>10</v>
      </c>
      <c r="AI44">
        <v>5.9</v>
      </c>
      <c r="AJ44">
        <v>14</v>
      </c>
    </row>
  </sheetData>
  <autoFilter ref="J1:AO44" xr:uid="{F8CA6F40-0EAA-4AF9-9803-415709AD0E2F}"/>
  <mergeCells count="9">
    <mergeCell ref="J2:O2"/>
    <mergeCell ref="R2:W2"/>
    <mergeCell ref="Z2:AE2"/>
    <mergeCell ref="AH2:AN2"/>
    <mergeCell ref="I43:J43"/>
    <mergeCell ref="K43:O43"/>
    <mergeCell ref="R43:W43"/>
    <mergeCell ref="Z43:AE43"/>
    <mergeCell ref="AH43:AN43"/>
  </mergeCells>
  <conditionalFormatting sqref="J4:O39 R4:W39 AH4:AN39">
    <cfRule type="expression" dxfId="9" priority="2">
      <formula>MOD(ROW(),2)</formula>
    </cfRule>
  </conditionalFormatting>
  <conditionalFormatting sqref="Z4:AE39">
    <cfRule type="expression" dxfId="8" priority="1">
      <formula>MOD(ROW(),2)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E25C0-B15A-4B28-B065-802139D75D76}">
  <dimension ref="A1:AO44"/>
  <sheetViews>
    <sheetView showGridLines="0" topLeftCell="B1" zoomScale="60" zoomScaleNormal="60" workbookViewId="0">
      <selection activeCell="J4" sqref="J4:O38"/>
    </sheetView>
  </sheetViews>
  <sheetFormatPr defaultRowHeight="15" x14ac:dyDescent="0.25"/>
  <cols>
    <col min="1" max="1" width="37.85546875" hidden="1" customWidth="1"/>
    <col min="2" max="2" width="8.42578125" bestFit="1" customWidth="1"/>
    <col min="3" max="3" width="8.140625" bestFit="1" customWidth="1"/>
    <col min="4" max="4" width="11.140625" bestFit="1" customWidth="1"/>
    <col min="5" max="5" width="8.5703125" bestFit="1" customWidth="1"/>
    <col min="6" max="6" width="13.7109375" bestFit="1" customWidth="1"/>
    <col min="7" max="8" width="9.42578125" bestFit="1" customWidth="1"/>
    <col min="9" max="9" width="6.85546875" style="32" customWidth="1"/>
    <col min="10" max="10" width="13" customWidth="1"/>
    <col min="11" max="23" width="9.42578125" customWidth="1"/>
    <col min="24" max="24" width="6.28515625" bestFit="1" customWidth="1"/>
    <col min="25" max="25" width="8.7109375" customWidth="1"/>
    <col min="26" max="31" width="11.42578125" customWidth="1"/>
    <col min="32" max="32" width="7.5703125" customWidth="1"/>
    <col min="33" max="33" width="7.7109375" customWidth="1"/>
    <col min="34" max="41" width="9.42578125" customWidth="1"/>
  </cols>
  <sheetData>
    <row r="1" spans="1:41" ht="15.75" thickBot="1" x14ac:dyDescent="0.3"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1" ht="15.75" thickBot="1" x14ac:dyDescent="0.3">
      <c r="B2" s="32"/>
      <c r="J2" s="135" t="s">
        <v>37</v>
      </c>
      <c r="K2" s="136"/>
      <c r="L2" s="136"/>
      <c r="M2" s="137"/>
      <c r="N2" s="137"/>
      <c r="O2" s="138"/>
      <c r="P2" s="32"/>
      <c r="Q2" s="32"/>
      <c r="R2" s="135" t="s">
        <v>38</v>
      </c>
      <c r="S2" s="136"/>
      <c r="T2" s="136"/>
      <c r="U2" s="136"/>
      <c r="V2" s="137"/>
      <c r="W2" s="138"/>
      <c r="X2" s="32"/>
      <c r="Y2" s="32"/>
      <c r="Z2" s="139" t="s">
        <v>43</v>
      </c>
      <c r="AA2" s="140"/>
      <c r="AB2" s="140"/>
      <c r="AC2" s="140"/>
      <c r="AD2" s="141"/>
      <c r="AE2" s="142"/>
      <c r="AF2" s="32"/>
      <c r="AG2" s="32"/>
      <c r="AH2" s="135" t="s">
        <v>39</v>
      </c>
      <c r="AI2" s="143"/>
      <c r="AJ2" s="136"/>
      <c r="AK2" s="136"/>
      <c r="AL2" s="137"/>
      <c r="AM2" s="137"/>
      <c r="AN2" s="138"/>
    </row>
    <row r="3" spans="1:41" ht="51" customHeight="1" x14ac:dyDescent="0.3">
      <c r="B3" s="32"/>
      <c r="J3" s="105" t="s">
        <v>36</v>
      </c>
      <c r="K3" s="102"/>
      <c r="L3" s="102"/>
      <c r="M3" s="103"/>
      <c r="N3" s="103"/>
      <c r="O3" s="104" t="s">
        <v>45</v>
      </c>
      <c r="P3" s="55"/>
      <c r="Q3" s="55"/>
      <c r="R3" s="101" t="s">
        <v>36</v>
      </c>
      <c r="S3" s="102">
        <v>62.1</v>
      </c>
      <c r="T3" s="102">
        <v>18.2</v>
      </c>
      <c r="U3" s="102"/>
      <c r="V3" s="106"/>
      <c r="W3" s="107"/>
      <c r="X3" s="55"/>
      <c r="Y3" s="55"/>
      <c r="Z3" s="117" t="s">
        <v>44</v>
      </c>
      <c r="AA3" s="118">
        <v>58.3</v>
      </c>
      <c r="AB3" s="118"/>
      <c r="AC3" s="118"/>
      <c r="AD3" s="119"/>
      <c r="AE3" s="120"/>
      <c r="AF3" s="55"/>
      <c r="AG3" s="55"/>
      <c r="AH3" s="121" t="s">
        <v>36</v>
      </c>
      <c r="AI3" s="116"/>
      <c r="AJ3" s="103">
        <v>18.2</v>
      </c>
      <c r="AK3" s="102">
        <v>29.2</v>
      </c>
      <c r="AL3" s="103"/>
      <c r="AM3" s="103"/>
      <c r="AN3" s="104"/>
    </row>
    <row r="4" spans="1:41" ht="21.75" customHeight="1" x14ac:dyDescent="0.25">
      <c r="A4" s="7" t="s">
        <v>30</v>
      </c>
      <c r="B4" s="33">
        <v>8601</v>
      </c>
      <c r="C4" s="7">
        <v>7904</v>
      </c>
      <c r="D4" s="7">
        <v>7915</v>
      </c>
      <c r="E4" s="17">
        <f>D4-C4</f>
        <v>11</v>
      </c>
      <c r="F4" s="7">
        <v>116622</v>
      </c>
      <c r="G4" s="7">
        <v>116805</v>
      </c>
      <c r="H4" s="17">
        <f t="shared" ref="H4:H39" si="0">+G4-F4</f>
        <v>183</v>
      </c>
      <c r="I4" s="37">
        <f t="shared" ref="I4:I39" si="1">SUM(J4:O4,R4:W4,AH4:AN4,Z4:AE4)</f>
        <v>10</v>
      </c>
      <c r="J4" s="56">
        <v>10</v>
      </c>
      <c r="K4" s="57"/>
      <c r="L4" s="57"/>
      <c r="M4" s="58"/>
      <c r="N4" s="58"/>
      <c r="O4" s="59"/>
      <c r="P4" s="60">
        <f t="shared" ref="P4:P39" si="2">SUM(K4:N4)</f>
        <v>0</v>
      </c>
      <c r="Q4" s="87"/>
      <c r="R4" s="62"/>
      <c r="S4" s="68"/>
      <c r="T4" s="68"/>
      <c r="U4" s="68"/>
      <c r="V4" s="69"/>
      <c r="W4" s="76"/>
      <c r="X4" s="61">
        <f>SUM(S4:W4)</f>
        <v>0</v>
      </c>
      <c r="Y4" s="87"/>
      <c r="Z4" s="56"/>
      <c r="AA4" s="57"/>
      <c r="AB4" s="57"/>
      <c r="AC4" s="57"/>
      <c r="AD4" s="58"/>
      <c r="AE4" s="59"/>
      <c r="AF4" s="61">
        <f>SUM(AA4:AE4)</f>
        <v>0</v>
      </c>
      <c r="AG4" s="87"/>
      <c r="AH4" s="56"/>
      <c r="AI4" s="57"/>
      <c r="AJ4" s="58"/>
      <c r="AK4" s="57"/>
      <c r="AL4" s="58"/>
      <c r="AM4" s="58"/>
      <c r="AN4" s="59"/>
      <c r="AO4" s="40">
        <f>SUM(AI4:AN4)</f>
        <v>0</v>
      </c>
    </row>
    <row r="5" spans="1:41" ht="21.75" customHeight="1" x14ac:dyDescent="0.25">
      <c r="A5" s="7" t="s">
        <v>31</v>
      </c>
      <c r="B5" s="33">
        <v>8602</v>
      </c>
      <c r="C5" s="7">
        <v>5909</v>
      </c>
      <c r="D5" s="7">
        <v>5920</v>
      </c>
      <c r="E5" s="17">
        <f t="shared" ref="E5:E39" si="3">D5-C5</f>
        <v>11</v>
      </c>
      <c r="F5" s="7">
        <v>12198</v>
      </c>
      <c r="G5" s="7">
        <f>+F5+120</f>
        <v>12318</v>
      </c>
      <c r="H5" s="17">
        <f t="shared" si="0"/>
        <v>120</v>
      </c>
      <c r="I5" s="37">
        <f t="shared" si="1"/>
        <v>9</v>
      </c>
      <c r="J5" s="56">
        <v>9</v>
      </c>
      <c r="K5" s="57"/>
      <c r="L5" s="57"/>
      <c r="M5" s="58"/>
      <c r="N5" s="58"/>
      <c r="O5" s="59"/>
      <c r="P5" s="60">
        <f t="shared" si="2"/>
        <v>0</v>
      </c>
      <c r="Q5" s="87"/>
      <c r="R5" s="62"/>
      <c r="S5" s="68"/>
      <c r="T5" s="68"/>
      <c r="U5" s="68"/>
      <c r="V5" s="69"/>
      <c r="W5" s="76"/>
      <c r="X5" s="61">
        <f t="shared" ref="X5:X39" si="4">SUM(S5:W5)</f>
        <v>0</v>
      </c>
      <c r="Y5" s="87"/>
      <c r="Z5" s="56"/>
      <c r="AA5" s="57"/>
      <c r="AB5" s="57"/>
      <c r="AC5" s="57"/>
      <c r="AD5" s="58"/>
      <c r="AE5" s="59"/>
      <c r="AF5" s="61">
        <f t="shared" ref="AF5:AF39" si="5">SUM(AA5:AE5)</f>
        <v>0</v>
      </c>
      <c r="AG5" s="87"/>
      <c r="AH5" s="56"/>
      <c r="AI5" s="57"/>
      <c r="AJ5" s="58"/>
      <c r="AK5" s="57"/>
      <c r="AL5" s="58"/>
      <c r="AM5" s="58"/>
      <c r="AN5" s="59"/>
      <c r="AO5" s="40">
        <f t="shared" ref="AO5:AO39" si="6">SUM(AI5:AN5)</f>
        <v>0</v>
      </c>
    </row>
    <row r="6" spans="1:41" ht="21.75" customHeight="1" x14ac:dyDescent="0.25">
      <c r="A6" s="7" t="s">
        <v>32</v>
      </c>
      <c r="B6" s="33">
        <v>8603</v>
      </c>
      <c r="C6" s="7">
        <v>7243</v>
      </c>
      <c r="D6" s="7">
        <v>7249</v>
      </c>
      <c r="E6" s="17">
        <f t="shared" si="3"/>
        <v>6</v>
      </c>
      <c r="F6" s="7">
        <v>120243</v>
      </c>
      <c r="G6" s="7">
        <f>+F6+70</f>
        <v>120313</v>
      </c>
      <c r="H6" s="17">
        <f t="shared" si="0"/>
        <v>70</v>
      </c>
      <c r="I6" s="37">
        <f t="shared" si="1"/>
        <v>3</v>
      </c>
      <c r="J6" s="56">
        <v>3</v>
      </c>
      <c r="K6" s="57"/>
      <c r="L6" s="57"/>
      <c r="M6" s="58"/>
      <c r="N6" s="58"/>
      <c r="O6" s="59"/>
      <c r="P6" s="60">
        <f t="shared" si="2"/>
        <v>0</v>
      </c>
      <c r="Q6" s="87"/>
      <c r="R6" s="62"/>
      <c r="S6" s="68"/>
      <c r="T6" s="68"/>
      <c r="U6" s="68"/>
      <c r="V6" s="69"/>
      <c r="W6" s="76"/>
      <c r="X6" s="61">
        <f t="shared" si="4"/>
        <v>0</v>
      </c>
      <c r="Y6" s="87"/>
      <c r="Z6" s="56"/>
      <c r="AA6" s="57"/>
      <c r="AB6" s="57"/>
      <c r="AC6" s="57"/>
      <c r="AD6" s="58"/>
      <c r="AE6" s="59"/>
      <c r="AF6" s="61">
        <f t="shared" si="5"/>
        <v>0</v>
      </c>
      <c r="AG6" s="87"/>
      <c r="AH6" s="56"/>
      <c r="AI6" s="57"/>
      <c r="AJ6" s="58"/>
      <c r="AK6" s="57"/>
      <c r="AL6" s="58"/>
      <c r="AM6" s="58"/>
      <c r="AN6" s="59"/>
      <c r="AO6" s="40">
        <f t="shared" si="6"/>
        <v>0</v>
      </c>
    </row>
    <row r="7" spans="1:41" ht="21.75" customHeight="1" x14ac:dyDescent="0.25">
      <c r="A7" s="7" t="s">
        <v>0</v>
      </c>
      <c r="B7" s="33">
        <v>8604</v>
      </c>
      <c r="C7" s="7">
        <v>9094</v>
      </c>
      <c r="D7" s="7">
        <v>9095</v>
      </c>
      <c r="E7" s="17">
        <f t="shared" si="3"/>
        <v>1</v>
      </c>
      <c r="F7" s="7">
        <v>94386</v>
      </c>
      <c r="G7" s="7">
        <f>+F7+50</f>
        <v>94436</v>
      </c>
      <c r="H7" s="17">
        <f t="shared" si="0"/>
        <v>50</v>
      </c>
      <c r="I7" s="37">
        <f t="shared" si="1"/>
        <v>1</v>
      </c>
      <c r="J7" s="56">
        <v>1</v>
      </c>
      <c r="K7" s="57"/>
      <c r="L7" s="57"/>
      <c r="M7" s="58"/>
      <c r="N7" s="58"/>
      <c r="O7" s="59"/>
      <c r="P7" s="60">
        <f t="shared" si="2"/>
        <v>0</v>
      </c>
      <c r="Q7" s="87"/>
      <c r="R7" s="62"/>
      <c r="S7" s="68"/>
      <c r="T7" s="68"/>
      <c r="U7" s="68"/>
      <c r="V7" s="69"/>
      <c r="W7" s="76"/>
      <c r="X7" s="61">
        <f t="shared" si="4"/>
        <v>0</v>
      </c>
      <c r="Y7" s="87"/>
      <c r="Z7" s="56"/>
      <c r="AA7" s="57"/>
      <c r="AB7" s="57"/>
      <c r="AC7" s="57"/>
      <c r="AD7" s="58"/>
      <c r="AE7" s="59"/>
      <c r="AF7" s="61">
        <f t="shared" si="5"/>
        <v>0</v>
      </c>
      <c r="AG7" s="87"/>
      <c r="AH7" s="56"/>
      <c r="AI7" s="57"/>
      <c r="AJ7" s="58"/>
      <c r="AK7" s="57"/>
      <c r="AL7" s="58"/>
      <c r="AM7" s="58"/>
      <c r="AN7" s="59"/>
      <c r="AO7" s="40">
        <f t="shared" si="6"/>
        <v>0</v>
      </c>
    </row>
    <row r="8" spans="1:41" ht="21.75" customHeight="1" x14ac:dyDescent="0.25">
      <c r="A8" s="7" t="s">
        <v>1</v>
      </c>
      <c r="B8" s="33">
        <v>8605</v>
      </c>
      <c r="C8" s="7"/>
      <c r="D8" s="7"/>
      <c r="E8" s="17">
        <f t="shared" si="3"/>
        <v>0</v>
      </c>
      <c r="F8" s="7"/>
      <c r="G8" s="7"/>
      <c r="H8" s="17">
        <f t="shared" si="0"/>
        <v>0</v>
      </c>
      <c r="I8" s="37">
        <f t="shared" si="1"/>
        <v>0</v>
      </c>
      <c r="J8" s="56"/>
      <c r="K8" s="57"/>
      <c r="L8" s="57"/>
      <c r="M8" s="58"/>
      <c r="N8" s="58"/>
      <c r="O8" s="59"/>
      <c r="P8" s="60">
        <f t="shared" si="2"/>
        <v>0</v>
      </c>
      <c r="Q8" s="87"/>
      <c r="R8" s="62"/>
      <c r="S8" s="68"/>
      <c r="T8" s="68"/>
      <c r="U8" s="68"/>
      <c r="V8" s="69"/>
      <c r="W8" s="76"/>
      <c r="X8" s="61">
        <f t="shared" si="4"/>
        <v>0</v>
      </c>
      <c r="Y8" s="87"/>
      <c r="Z8" s="56"/>
      <c r="AA8" s="57"/>
      <c r="AB8" s="57"/>
      <c r="AC8" s="57"/>
      <c r="AD8" s="58"/>
      <c r="AE8" s="59"/>
      <c r="AF8" s="61">
        <f t="shared" si="5"/>
        <v>0</v>
      </c>
      <c r="AG8" s="87"/>
      <c r="AH8" s="56"/>
      <c r="AI8" s="57"/>
      <c r="AJ8" s="58"/>
      <c r="AK8" s="57"/>
      <c r="AL8" s="58"/>
      <c r="AM8" s="58"/>
      <c r="AN8" s="59"/>
      <c r="AO8" s="40">
        <f t="shared" si="6"/>
        <v>0</v>
      </c>
    </row>
    <row r="9" spans="1:41" ht="21.75" customHeight="1" x14ac:dyDescent="0.25">
      <c r="A9" s="7" t="s">
        <v>2</v>
      </c>
      <c r="B9" s="33">
        <v>8606</v>
      </c>
      <c r="C9" s="7">
        <v>10192</v>
      </c>
      <c r="D9" s="7">
        <v>10202</v>
      </c>
      <c r="E9" s="17">
        <f t="shared" si="3"/>
        <v>10</v>
      </c>
      <c r="F9" s="7">
        <v>126435</v>
      </c>
      <c r="G9" s="7">
        <f>+F9+130</f>
        <v>126565</v>
      </c>
      <c r="H9" s="17">
        <f t="shared" si="0"/>
        <v>130</v>
      </c>
      <c r="I9" s="37">
        <f t="shared" si="1"/>
        <v>11</v>
      </c>
      <c r="J9" s="56">
        <v>11</v>
      </c>
      <c r="K9" s="57"/>
      <c r="L9" s="57"/>
      <c r="M9" s="58"/>
      <c r="N9" s="58"/>
      <c r="O9" s="59"/>
      <c r="P9" s="60">
        <f t="shared" si="2"/>
        <v>0</v>
      </c>
      <c r="Q9" s="87"/>
      <c r="R9" s="62"/>
      <c r="S9" s="68"/>
      <c r="T9" s="68"/>
      <c r="U9" s="68"/>
      <c r="V9" s="69"/>
      <c r="W9" s="76"/>
      <c r="X9" s="61">
        <f t="shared" si="4"/>
        <v>0</v>
      </c>
      <c r="Y9" s="87"/>
      <c r="Z9" s="56"/>
      <c r="AA9" s="57"/>
      <c r="AB9" s="57"/>
      <c r="AC9" s="57"/>
      <c r="AD9" s="58"/>
      <c r="AE9" s="59"/>
      <c r="AF9" s="61">
        <f t="shared" si="5"/>
        <v>0</v>
      </c>
      <c r="AG9" s="87"/>
      <c r="AH9" s="56"/>
      <c r="AI9" s="57"/>
      <c r="AJ9" s="58"/>
      <c r="AK9" s="57"/>
      <c r="AL9" s="58"/>
      <c r="AM9" s="58"/>
      <c r="AN9" s="59"/>
      <c r="AO9" s="40">
        <f t="shared" si="6"/>
        <v>0</v>
      </c>
    </row>
    <row r="10" spans="1:41" ht="21.75" customHeight="1" x14ac:dyDescent="0.25">
      <c r="A10" s="7" t="s">
        <v>3</v>
      </c>
      <c r="B10" s="33">
        <v>8607</v>
      </c>
      <c r="C10" s="7">
        <v>8815</v>
      </c>
      <c r="D10" s="7">
        <v>8825</v>
      </c>
      <c r="E10" s="17">
        <f t="shared" si="3"/>
        <v>10</v>
      </c>
      <c r="F10" s="7">
        <v>85126</v>
      </c>
      <c r="G10" s="7">
        <f>+F10+100</f>
        <v>85226</v>
      </c>
      <c r="H10" s="17">
        <f>+G10-F10</f>
        <v>100</v>
      </c>
      <c r="I10" s="37">
        <f t="shared" si="1"/>
        <v>10</v>
      </c>
      <c r="J10" s="56">
        <v>10</v>
      </c>
      <c r="K10" s="57"/>
      <c r="L10" s="57"/>
      <c r="M10" s="58"/>
      <c r="N10" s="58"/>
      <c r="O10" s="59"/>
      <c r="P10" s="60">
        <f t="shared" si="2"/>
        <v>0</v>
      </c>
      <c r="Q10" s="87"/>
      <c r="R10" s="62"/>
      <c r="S10" s="68"/>
      <c r="T10" s="68"/>
      <c r="U10" s="68"/>
      <c r="V10" s="69"/>
      <c r="W10" s="76"/>
      <c r="X10" s="61">
        <f t="shared" si="4"/>
        <v>0</v>
      </c>
      <c r="Y10" s="87"/>
      <c r="Z10" s="56"/>
      <c r="AA10" s="57"/>
      <c r="AB10" s="57"/>
      <c r="AC10" s="57"/>
      <c r="AD10" s="58"/>
      <c r="AE10" s="59"/>
      <c r="AF10" s="61">
        <f t="shared" si="5"/>
        <v>0</v>
      </c>
      <c r="AG10" s="87"/>
      <c r="AH10" s="56"/>
      <c r="AI10" s="57"/>
      <c r="AJ10" s="58"/>
      <c r="AK10" s="57"/>
      <c r="AL10" s="58"/>
      <c r="AM10" s="58"/>
      <c r="AN10" s="59"/>
      <c r="AO10" s="40">
        <f t="shared" si="6"/>
        <v>0</v>
      </c>
    </row>
    <row r="11" spans="1:41" ht="21.75" customHeight="1" x14ac:dyDescent="0.25">
      <c r="A11" s="7" t="s">
        <v>4</v>
      </c>
      <c r="B11" s="33">
        <v>8608</v>
      </c>
      <c r="C11" s="7">
        <v>10171</v>
      </c>
      <c r="D11" s="7">
        <v>10181</v>
      </c>
      <c r="E11" s="17">
        <f t="shared" si="3"/>
        <v>10</v>
      </c>
      <c r="F11" s="7">
        <v>133275</v>
      </c>
      <c r="G11" s="7">
        <v>133441</v>
      </c>
      <c r="H11" s="17">
        <f t="shared" si="0"/>
        <v>166</v>
      </c>
      <c r="I11" s="37">
        <f t="shared" si="1"/>
        <v>10</v>
      </c>
      <c r="J11" s="62">
        <v>10</v>
      </c>
      <c r="K11" s="57"/>
      <c r="L11" s="57"/>
      <c r="M11" s="58"/>
      <c r="N11" s="58"/>
      <c r="O11" s="59"/>
      <c r="P11" s="60">
        <f t="shared" si="2"/>
        <v>0</v>
      </c>
      <c r="Q11" s="87"/>
      <c r="R11" s="62"/>
      <c r="S11" s="68"/>
      <c r="T11" s="68"/>
      <c r="U11" s="68"/>
      <c r="V11" s="69"/>
      <c r="W11" s="76"/>
      <c r="X11" s="61">
        <f t="shared" si="4"/>
        <v>0</v>
      </c>
      <c r="Y11" s="87"/>
      <c r="Z11" s="56"/>
      <c r="AA11" s="57"/>
      <c r="AB11" s="57"/>
      <c r="AC11" s="57"/>
      <c r="AD11" s="58"/>
      <c r="AE11" s="59"/>
      <c r="AF11" s="61">
        <f t="shared" si="5"/>
        <v>0</v>
      </c>
      <c r="AG11" s="87"/>
      <c r="AH11" s="56"/>
      <c r="AI11" s="57"/>
      <c r="AJ11" s="58"/>
      <c r="AK11" s="57"/>
      <c r="AL11" s="58"/>
      <c r="AM11" s="58"/>
      <c r="AN11" s="59"/>
      <c r="AO11" s="40">
        <f t="shared" si="6"/>
        <v>0</v>
      </c>
    </row>
    <row r="12" spans="1:41" ht="21.75" customHeight="1" x14ac:dyDescent="0.25">
      <c r="A12" s="7" t="s">
        <v>5</v>
      </c>
      <c r="B12" s="33">
        <v>8609</v>
      </c>
      <c r="C12" s="7">
        <v>10918</v>
      </c>
      <c r="D12" s="7">
        <v>10928</v>
      </c>
      <c r="E12" s="17">
        <f t="shared" si="3"/>
        <v>10</v>
      </c>
      <c r="F12" s="7">
        <v>143148</v>
      </c>
      <c r="G12" s="7">
        <v>143302</v>
      </c>
      <c r="H12" s="17">
        <f t="shared" si="0"/>
        <v>154</v>
      </c>
      <c r="I12" s="37">
        <f t="shared" si="1"/>
        <v>9</v>
      </c>
      <c r="J12" s="56">
        <v>9</v>
      </c>
      <c r="K12" s="57"/>
      <c r="L12" s="57"/>
      <c r="M12" s="58"/>
      <c r="N12" s="58"/>
      <c r="O12" s="59"/>
      <c r="P12" s="60">
        <f t="shared" si="2"/>
        <v>0</v>
      </c>
      <c r="Q12" s="87"/>
      <c r="R12" s="62"/>
      <c r="S12" s="68"/>
      <c r="T12" s="68"/>
      <c r="U12" s="68"/>
      <c r="V12" s="69"/>
      <c r="W12" s="76"/>
      <c r="X12" s="61">
        <f t="shared" si="4"/>
        <v>0</v>
      </c>
      <c r="Y12" s="87"/>
      <c r="Z12" s="56"/>
      <c r="AA12" s="57"/>
      <c r="AB12" s="57"/>
      <c r="AC12" s="57"/>
      <c r="AD12" s="58"/>
      <c r="AE12" s="59"/>
      <c r="AF12" s="61">
        <f t="shared" si="5"/>
        <v>0</v>
      </c>
      <c r="AG12" s="87"/>
      <c r="AH12" s="56"/>
      <c r="AI12" s="57"/>
      <c r="AJ12" s="58"/>
      <c r="AK12" s="57"/>
      <c r="AL12" s="58"/>
      <c r="AM12" s="58"/>
      <c r="AN12" s="59"/>
      <c r="AO12" s="40">
        <f t="shared" si="6"/>
        <v>0</v>
      </c>
    </row>
    <row r="13" spans="1:41" ht="21.75" customHeight="1" x14ac:dyDescent="0.25">
      <c r="A13" s="7" t="s">
        <v>6</v>
      </c>
      <c r="B13" s="33">
        <v>8610</v>
      </c>
      <c r="C13" s="7">
        <v>6414</v>
      </c>
      <c r="D13" s="7">
        <v>6425</v>
      </c>
      <c r="E13" s="17">
        <f t="shared" si="3"/>
        <v>11</v>
      </c>
      <c r="F13" s="7">
        <v>26598</v>
      </c>
      <c r="G13" s="7">
        <f>+F13+120</f>
        <v>26718</v>
      </c>
      <c r="H13" s="17">
        <f t="shared" si="0"/>
        <v>120</v>
      </c>
      <c r="I13" s="37">
        <f t="shared" si="1"/>
        <v>8</v>
      </c>
      <c r="J13" s="56">
        <v>8</v>
      </c>
      <c r="K13" s="57"/>
      <c r="L13" s="57"/>
      <c r="M13" s="58"/>
      <c r="N13" s="58"/>
      <c r="O13" s="59"/>
      <c r="P13" s="60">
        <f t="shared" si="2"/>
        <v>0</v>
      </c>
      <c r="Q13" s="87"/>
      <c r="R13" s="62"/>
      <c r="S13" s="68"/>
      <c r="T13" s="68"/>
      <c r="U13" s="68"/>
      <c r="V13" s="69"/>
      <c r="W13" s="76"/>
      <c r="X13" s="61">
        <f t="shared" si="4"/>
        <v>0</v>
      </c>
      <c r="Y13" s="87"/>
      <c r="Z13" s="56"/>
      <c r="AA13" s="57"/>
      <c r="AB13" s="57"/>
      <c r="AC13" s="57"/>
      <c r="AD13" s="58"/>
      <c r="AE13" s="59"/>
      <c r="AF13" s="61">
        <f t="shared" si="5"/>
        <v>0</v>
      </c>
      <c r="AG13" s="87"/>
      <c r="AH13" s="56"/>
      <c r="AI13" s="57"/>
      <c r="AJ13" s="58"/>
      <c r="AK13" s="57"/>
      <c r="AL13" s="58"/>
      <c r="AM13" s="58"/>
      <c r="AN13" s="59"/>
      <c r="AO13" s="40">
        <f t="shared" si="6"/>
        <v>0</v>
      </c>
    </row>
    <row r="14" spans="1:41" ht="21.75" customHeight="1" x14ac:dyDescent="0.25">
      <c r="A14" s="7" t="s">
        <v>7</v>
      </c>
      <c r="B14" s="33">
        <v>8611</v>
      </c>
      <c r="C14" s="7"/>
      <c r="D14" s="7"/>
      <c r="E14" s="17">
        <f t="shared" si="3"/>
        <v>0</v>
      </c>
      <c r="F14" s="7"/>
      <c r="G14" s="7"/>
      <c r="H14" s="17">
        <f t="shared" si="0"/>
        <v>0</v>
      </c>
      <c r="I14" s="37">
        <f t="shared" si="1"/>
        <v>0</v>
      </c>
      <c r="J14" s="56"/>
      <c r="K14" s="57"/>
      <c r="L14" s="57"/>
      <c r="M14" s="58"/>
      <c r="N14" s="58"/>
      <c r="O14" s="59"/>
      <c r="P14" s="60">
        <f t="shared" si="2"/>
        <v>0</v>
      </c>
      <c r="Q14" s="87"/>
      <c r="R14" s="62"/>
      <c r="S14" s="68"/>
      <c r="T14" s="68"/>
      <c r="U14" s="68"/>
      <c r="V14" s="69"/>
      <c r="W14" s="76"/>
      <c r="X14" s="61">
        <f t="shared" si="4"/>
        <v>0</v>
      </c>
      <c r="Y14" s="87"/>
      <c r="Z14" s="56"/>
      <c r="AA14" s="57"/>
      <c r="AB14" s="57"/>
      <c r="AC14" s="57"/>
      <c r="AD14" s="58"/>
      <c r="AE14" s="59"/>
      <c r="AF14" s="61">
        <f t="shared" si="5"/>
        <v>0</v>
      </c>
      <c r="AG14" s="87"/>
      <c r="AH14" s="56"/>
      <c r="AI14" s="57"/>
      <c r="AJ14" s="58"/>
      <c r="AK14" s="57"/>
      <c r="AL14" s="58"/>
      <c r="AM14" s="58"/>
      <c r="AN14" s="59"/>
      <c r="AO14" s="40">
        <f t="shared" si="6"/>
        <v>0</v>
      </c>
    </row>
    <row r="15" spans="1:41" ht="21.75" customHeight="1" x14ac:dyDescent="0.25">
      <c r="A15" s="7" t="s">
        <v>8</v>
      </c>
      <c r="B15" s="33">
        <v>8612</v>
      </c>
      <c r="C15" s="7"/>
      <c r="D15" s="7"/>
      <c r="E15" s="17">
        <f t="shared" si="3"/>
        <v>0</v>
      </c>
      <c r="F15" s="7"/>
      <c r="G15" s="7"/>
      <c r="H15" s="17">
        <f t="shared" si="0"/>
        <v>0</v>
      </c>
      <c r="I15" s="37">
        <f t="shared" si="1"/>
        <v>0</v>
      </c>
      <c r="J15" s="56"/>
      <c r="K15" s="57"/>
      <c r="L15" s="57"/>
      <c r="M15" s="58"/>
      <c r="N15" s="58"/>
      <c r="O15" s="59"/>
      <c r="P15" s="60">
        <f t="shared" si="2"/>
        <v>0</v>
      </c>
      <c r="Q15" s="87"/>
      <c r="R15" s="62"/>
      <c r="S15" s="68"/>
      <c r="T15" s="68"/>
      <c r="U15" s="68"/>
      <c r="V15" s="69"/>
      <c r="W15" s="76"/>
      <c r="X15" s="61">
        <f t="shared" si="4"/>
        <v>0</v>
      </c>
      <c r="Y15" s="87"/>
      <c r="Z15" s="56"/>
      <c r="AA15" s="57"/>
      <c r="AB15" s="57"/>
      <c r="AC15" s="57"/>
      <c r="AD15" s="58"/>
      <c r="AE15" s="59"/>
      <c r="AF15" s="61">
        <f>SUM(AA15:AE15)</f>
        <v>0</v>
      </c>
      <c r="AG15" s="87"/>
      <c r="AH15" s="56"/>
      <c r="AI15" s="57"/>
      <c r="AJ15" s="58"/>
      <c r="AK15" s="57"/>
      <c r="AL15" s="58"/>
      <c r="AM15" s="58"/>
      <c r="AN15" s="59"/>
      <c r="AO15" s="40">
        <f t="shared" si="6"/>
        <v>0</v>
      </c>
    </row>
    <row r="16" spans="1:41" ht="21.75" customHeight="1" x14ac:dyDescent="0.25">
      <c r="A16" s="7" t="s">
        <v>9</v>
      </c>
      <c r="B16" s="33">
        <v>8613</v>
      </c>
      <c r="C16" s="7">
        <v>10738</v>
      </c>
      <c r="D16" s="7">
        <v>10741</v>
      </c>
      <c r="E16" s="17">
        <f t="shared" si="3"/>
        <v>3</v>
      </c>
      <c r="F16" s="7">
        <v>93298</v>
      </c>
      <c r="G16" s="7">
        <f>+F16+50</f>
        <v>93348</v>
      </c>
      <c r="H16" s="17">
        <f t="shared" si="0"/>
        <v>50</v>
      </c>
      <c r="I16" s="37">
        <f t="shared" si="1"/>
        <v>1</v>
      </c>
      <c r="J16" s="56">
        <v>1</v>
      </c>
      <c r="K16" s="57"/>
      <c r="L16" s="57"/>
      <c r="M16" s="58"/>
      <c r="N16" s="58"/>
      <c r="O16" s="59"/>
      <c r="P16" s="60">
        <f t="shared" si="2"/>
        <v>0</v>
      </c>
      <c r="Q16" s="87"/>
      <c r="R16" s="62"/>
      <c r="S16" s="68"/>
      <c r="T16" s="68"/>
      <c r="U16" s="68"/>
      <c r="V16" s="69"/>
      <c r="W16" s="76"/>
      <c r="X16" s="61">
        <f t="shared" si="4"/>
        <v>0</v>
      </c>
      <c r="Y16" s="87"/>
      <c r="Z16" s="56"/>
      <c r="AA16" s="57"/>
      <c r="AB16" s="57"/>
      <c r="AC16" s="57"/>
      <c r="AD16" s="58"/>
      <c r="AE16" s="59"/>
      <c r="AF16" s="61">
        <f t="shared" si="5"/>
        <v>0</v>
      </c>
      <c r="AG16" s="87"/>
      <c r="AH16" s="56"/>
      <c r="AI16" s="57"/>
      <c r="AJ16" s="58"/>
      <c r="AK16" s="57"/>
      <c r="AL16" s="58"/>
      <c r="AM16" s="58"/>
      <c r="AN16" s="59"/>
      <c r="AO16" s="40">
        <f t="shared" si="6"/>
        <v>0</v>
      </c>
    </row>
    <row r="17" spans="1:41" ht="21.75" customHeight="1" x14ac:dyDescent="0.25">
      <c r="A17" s="7" t="s">
        <v>10</v>
      </c>
      <c r="B17" s="33">
        <v>8614</v>
      </c>
      <c r="C17" s="7">
        <v>8579</v>
      </c>
      <c r="D17" s="7">
        <v>8591</v>
      </c>
      <c r="E17" s="17">
        <f t="shared" si="3"/>
        <v>12</v>
      </c>
      <c r="F17" s="7">
        <v>118445</v>
      </c>
      <c r="G17" s="7">
        <v>118610</v>
      </c>
      <c r="H17" s="17">
        <f t="shared" si="0"/>
        <v>165</v>
      </c>
      <c r="I17" s="37">
        <f t="shared" si="1"/>
        <v>12</v>
      </c>
      <c r="J17" s="56"/>
      <c r="K17" s="57"/>
      <c r="L17" s="57"/>
      <c r="M17" s="58"/>
      <c r="N17" s="58"/>
      <c r="O17" s="59"/>
      <c r="P17" s="60">
        <f t="shared" si="2"/>
        <v>0</v>
      </c>
      <c r="Q17" s="87"/>
      <c r="R17" s="62">
        <v>8</v>
      </c>
      <c r="S17" s="68">
        <v>3</v>
      </c>
      <c r="T17" s="68">
        <v>1</v>
      </c>
      <c r="U17" s="68"/>
      <c r="V17" s="69"/>
      <c r="W17" s="76"/>
      <c r="X17" s="61">
        <f t="shared" si="4"/>
        <v>4</v>
      </c>
      <c r="Y17" s="87"/>
      <c r="Z17" s="56"/>
      <c r="AA17" s="57"/>
      <c r="AB17" s="57"/>
      <c r="AC17" s="57"/>
      <c r="AD17" s="58"/>
      <c r="AE17" s="59"/>
      <c r="AF17" s="61">
        <f t="shared" si="5"/>
        <v>0</v>
      </c>
      <c r="AG17" s="87"/>
      <c r="AH17" s="56"/>
      <c r="AI17" s="57"/>
      <c r="AJ17" s="57"/>
      <c r="AK17" s="57"/>
      <c r="AL17" s="58"/>
      <c r="AM17" s="58"/>
      <c r="AN17" s="59"/>
      <c r="AO17" s="40">
        <f t="shared" si="6"/>
        <v>0</v>
      </c>
    </row>
    <row r="18" spans="1:41" ht="21.75" customHeight="1" x14ac:dyDescent="0.25">
      <c r="A18" s="7" t="s">
        <v>11</v>
      </c>
      <c r="B18" s="33">
        <v>8615</v>
      </c>
      <c r="C18" s="7"/>
      <c r="D18" s="7"/>
      <c r="E18" s="17">
        <f t="shared" si="3"/>
        <v>0</v>
      </c>
      <c r="F18" s="7"/>
      <c r="G18" s="7"/>
      <c r="H18" s="17">
        <f t="shared" si="0"/>
        <v>0</v>
      </c>
      <c r="I18" s="37">
        <f t="shared" si="1"/>
        <v>0</v>
      </c>
      <c r="J18" s="56"/>
      <c r="K18" s="57"/>
      <c r="L18" s="57"/>
      <c r="M18" s="58"/>
      <c r="N18" s="58"/>
      <c r="O18" s="59"/>
      <c r="P18" s="60">
        <f t="shared" si="2"/>
        <v>0</v>
      </c>
      <c r="Q18" s="87"/>
      <c r="R18" s="62"/>
      <c r="S18" s="68"/>
      <c r="T18" s="68"/>
      <c r="U18" s="68"/>
      <c r="V18" s="69"/>
      <c r="W18" s="76"/>
      <c r="X18" s="61">
        <f t="shared" si="4"/>
        <v>0</v>
      </c>
      <c r="Y18" s="87"/>
      <c r="Z18" s="56"/>
      <c r="AA18" s="57"/>
      <c r="AB18" s="57"/>
      <c r="AC18" s="57"/>
      <c r="AD18" s="58"/>
      <c r="AE18" s="59"/>
      <c r="AF18" s="61">
        <f t="shared" si="5"/>
        <v>0</v>
      </c>
      <c r="AG18" s="87"/>
      <c r="AH18" s="56"/>
      <c r="AI18" s="57"/>
      <c r="AJ18" s="57"/>
      <c r="AK18" s="57"/>
      <c r="AL18" s="58"/>
      <c r="AM18" s="58"/>
      <c r="AN18" s="59"/>
      <c r="AO18" s="40">
        <f t="shared" si="6"/>
        <v>0</v>
      </c>
    </row>
    <row r="19" spans="1:41" ht="21.75" customHeight="1" x14ac:dyDescent="0.25">
      <c r="A19" s="7" t="s">
        <v>12</v>
      </c>
      <c r="B19" s="33">
        <v>8616</v>
      </c>
      <c r="C19" s="7">
        <v>10002</v>
      </c>
      <c r="D19" s="7">
        <v>10009</v>
      </c>
      <c r="E19" s="17">
        <f t="shared" si="3"/>
        <v>7</v>
      </c>
      <c r="F19" s="7">
        <v>82599</v>
      </c>
      <c r="G19" s="7">
        <f>+F19+150</f>
        <v>82749</v>
      </c>
      <c r="H19" s="17">
        <f t="shared" si="0"/>
        <v>150</v>
      </c>
      <c r="I19" s="37">
        <f t="shared" si="1"/>
        <v>9</v>
      </c>
      <c r="J19" s="56">
        <v>9</v>
      </c>
      <c r="K19" s="57"/>
      <c r="L19" s="57"/>
      <c r="M19" s="58"/>
      <c r="N19" s="58"/>
      <c r="O19" s="59"/>
      <c r="P19" s="60">
        <f t="shared" si="2"/>
        <v>0</v>
      </c>
      <c r="Q19" s="87"/>
      <c r="R19" s="62"/>
      <c r="S19" s="68"/>
      <c r="T19" s="68"/>
      <c r="U19" s="68"/>
      <c r="V19" s="69"/>
      <c r="W19" s="76"/>
      <c r="X19" s="61">
        <f t="shared" si="4"/>
        <v>0</v>
      </c>
      <c r="Y19" s="87"/>
      <c r="Z19" s="56"/>
      <c r="AA19" s="57"/>
      <c r="AB19" s="57"/>
      <c r="AC19" s="57"/>
      <c r="AD19" s="58"/>
      <c r="AE19" s="59"/>
      <c r="AF19" s="61">
        <f t="shared" si="5"/>
        <v>0</v>
      </c>
      <c r="AG19" s="87"/>
      <c r="AH19" s="56"/>
      <c r="AI19" s="57"/>
      <c r="AJ19" s="57"/>
      <c r="AK19" s="57"/>
      <c r="AL19" s="58"/>
      <c r="AM19" s="58"/>
      <c r="AN19" s="59"/>
      <c r="AO19" s="40">
        <f t="shared" si="6"/>
        <v>0</v>
      </c>
    </row>
    <row r="20" spans="1:41" ht="21.75" customHeight="1" x14ac:dyDescent="0.25">
      <c r="A20" s="7" t="s">
        <v>13</v>
      </c>
      <c r="B20" s="33">
        <v>8617</v>
      </c>
      <c r="C20" s="7">
        <v>9126</v>
      </c>
      <c r="D20" s="7">
        <v>9133</v>
      </c>
      <c r="E20" s="17">
        <f t="shared" si="3"/>
        <v>7</v>
      </c>
      <c r="F20" s="7">
        <v>111329</v>
      </c>
      <c r="G20" s="7">
        <v>111399</v>
      </c>
      <c r="H20" s="17">
        <f t="shared" si="0"/>
        <v>70</v>
      </c>
      <c r="I20" s="37">
        <f t="shared" si="1"/>
        <v>4</v>
      </c>
      <c r="J20" s="56"/>
      <c r="K20" s="57"/>
      <c r="L20" s="57"/>
      <c r="M20" s="58"/>
      <c r="N20" s="58"/>
      <c r="O20" s="59"/>
      <c r="P20" s="60">
        <f t="shared" si="2"/>
        <v>0</v>
      </c>
      <c r="Q20" s="87"/>
      <c r="R20" s="62"/>
      <c r="S20" s="68">
        <v>2</v>
      </c>
      <c r="T20" s="68">
        <v>2</v>
      </c>
      <c r="U20" s="68"/>
      <c r="V20" s="69"/>
      <c r="W20" s="76"/>
      <c r="X20" s="61">
        <f t="shared" si="4"/>
        <v>4</v>
      </c>
      <c r="Y20" s="87"/>
      <c r="Z20" s="56"/>
      <c r="AA20" s="57"/>
      <c r="AB20" s="57"/>
      <c r="AC20" s="57"/>
      <c r="AD20" s="58"/>
      <c r="AE20" s="59"/>
      <c r="AF20" s="61">
        <f t="shared" si="5"/>
        <v>0</v>
      </c>
      <c r="AG20" s="87"/>
      <c r="AH20" s="56"/>
      <c r="AI20" s="57"/>
      <c r="AJ20" s="57"/>
      <c r="AK20" s="57"/>
      <c r="AL20" s="58"/>
      <c r="AM20" s="58"/>
      <c r="AN20" s="59"/>
      <c r="AO20" s="40">
        <f t="shared" si="6"/>
        <v>0</v>
      </c>
    </row>
    <row r="21" spans="1:41" ht="21.75" customHeight="1" x14ac:dyDescent="0.25">
      <c r="A21" s="7" t="s">
        <v>14</v>
      </c>
      <c r="B21" s="33">
        <v>8618</v>
      </c>
      <c r="C21" s="7"/>
      <c r="D21" s="7"/>
      <c r="E21" s="17">
        <f t="shared" si="3"/>
        <v>0</v>
      </c>
      <c r="F21" s="7"/>
      <c r="G21" s="7"/>
      <c r="H21" s="17">
        <f t="shared" si="0"/>
        <v>0</v>
      </c>
      <c r="I21" s="37">
        <f t="shared" si="1"/>
        <v>0</v>
      </c>
      <c r="J21" s="56"/>
      <c r="K21" s="57"/>
      <c r="L21" s="57"/>
      <c r="M21" s="58"/>
      <c r="N21" s="58"/>
      <c r="O21" s="59"/>
      <c r="P21" s="60">
        <f t="shared" si="2"/>
        <v>0</v>
      </c>
      <c r="Q21" s="87"/>
      <c r="R21" s="62"/>
      <c r="S21" s="68"/>
      <c r="T21" s="68"/>
      <c r="U21" s="68"/>
      <c r="V21" s="69"/>
      <c r="W21" s="76"/>
      <c r="X21" s="61">
        <f t="shared" si="4"/>
        <v>0</v>
      </c>
      <c r="Y21" s="87"/>
      <c r="Z21" s="56"/>
      <c r="AA21" s="57"/>
      <c r="AB21" s="57"/>
      <c r="AC21" s="57"/>
      <c r="AD21" s="58"/>
      <c r="AE21" s="59"/>
      <c r="AF21" s="61">
        <f t="shared" si="5"/>
        <v>0</v>
      </c>
      <c r="AG21" s="87"/>
      <c r="AH21" s="56"/>
      <c r="AI21" s="57"/>
      <c r="AJ21" s="57"/>
      <c r="AK21" s="57"/>
      <c r="AL21" s="58"/>
      <c r="AM21" s="58"/>
      <c r="AN21" s="59"/>
      <c r="AO21" s="40">
        <f t="shared" si="6"/>
        <v>0</v>
      </c>
    </row>
    <row r="22" spans="1:41" ht="21.75" customHeight="1" x14ac:dyDescent="0.25">
      <c r="A22" s="7" t="s">
        <v>15</v>
      </c>
      <c r="B22" s="33">
        <v>8619</v>
      </c>
      <c r="C22" s="7">
        <v>10411</v>
      </c>
      <c r="D22" s="7">
        <v>10422</v>
      </c>
      <c r="E22" s="17">
        <f t="shared" si="3"/>
        <v>11</v>
      </c>
      <c r="F22" s="7">
        <v>113575</v>
      </c>
      <c r="G22" s="7">
        <f>+F22+150</f>
        <v>113725</v>
      </c>
      <c r="H22" s="17">
        <f t="shared" si="0"/>
        <v>150</v>
      </c>
      <c r="I22" s="37">
        <f t="shared" si="1"/>
        <v>12</v>
      </c>
      <c r="J22" s="56"/>
      <c r="K22" s="57"/>
      <c r="L22" s="57"/>
      <c r="M22" s="58"/>
      <c r="N22" s="58"/>
      <c r="O22" s="59"/>
      <c r="P22" s="60">
        <f t="shared" si="2"/>
        <v>0</v>
      </c>
      <c r="Q22" s="87"/>
      <c r="R22" s="62">
        <v>7</v>
      </c>
      <c r="S22" s="68">
        <v>1</v>
      </c>
      <c r="T22" s="68">
        <v>4</v>
      </c>
      <c r="U22" s="68"/>
      <c r="V22" s="69"/>
      <c r="W22" s="76"/>
      <c r="X22" s="61">
        <f t="shared" si="4"/>
        <v>5</v>
      </c>
      <c r="Y22" s="87"/>
      <c r="Z22" s="56"/>
      <c r="AA22" s="57"/>
      <c r="AB22" s="57"/>
      <c r="AC22" s="57"/>
      <c r="AD22" s="58"/>
      <c r="AE22" s="59"/>
      <c r="AF22" s="61">
        <f t="shared" si="5"/>
        <v>0</v>
      </c>
      <c r="AG22" s="87"/>
      <c r="AH22" s="56"/>
      <c r="AI22" s="57"/>
      <c r="AJ22" s="57"/>
      <c r="AK22" s="57"/>
      <c r="AL22" s="58"/>
      <c r="AM22" s="58"/>
      <c r="AN22" s="59"/>
      <c r="AO22" s="40">
        <f t="shared" si="6"/>
        <v>0</v>
      </c>
    </row>
    <row r="23" spans="1:41" ht="21.75" customHeight="1" x14ac:dyDescent="0.25">
      <c r="A23" s="7" t="s">
        <v>16</v>
      </c>
      <c r="B23" s="33">
        <v>8620</v>
      </c>
      <c r="C23" s="7">
        <v>10296</v>
      </c>
      <c r="D23" s="7">
        <v>10306</v>
      </c>
      <c r="E23" s="17">
        <f t="shared" si="3"/>
        <v>10</v>
      </c>
      <c r="F23" s="7">
        <v>139522</v>
      </c>
      <c r="G23" s="7">
        <v>139606</v>
      </c>
      <c r="H23" s="17">
        <f t="shared" si="0"/>
        <v>84</v>
      </c>
      <c r="I23" s="37">
        <f t="shared" si="1"/>
        <v>10</v>
      </c>
      <c r="J23" s="56">
        <v>10</v>
      </c>
      <c r="K23" s="57"/>
      <c r="L23" s="57"/>
      <c r="M23" s="58"/>
      <c r="N23" s="58"/>
      <c r="O23" s="59"/>
      <c r="P23" s="60">
        <f t="shared" si="2"/>
        <v>0</v>
      </c>
      <c r="Q23" s="87"/>
      <c r="R23" s="62"/>
      <c r="S23" s="68"/>
      <c r="T23" s="68"/>
      <c r="U23" s="68"/>
      <c r="V23" s="69"/>
      <c r="W23" s="76"/>
      <c r="X23" s="61">
        <f t="shared" si="4"/>
        <v>0</v>
      </c>
      <c r="Y23" s="87"/>
      <c r="Z23" s="56"/>
      <c r="AA23" s="57"/>
      <c r="AB23" s="57"/>
      <c r="AC23" s="57"/>
      <c r="AD23" s="58"/>
      <c r="AE23" s="59"/>
      <c r="AF23" s="61">
        <f t="shared" si="5"/>
        <v>0</v>
      </c>
      <c r="AG23" s="87"/>
      <c r="AH23" s="56"/>
      <c r="AI23" s="57"/>
      <c r="AJ23" s="57"/>
      <c r="AK23" s="57"/>
      <c r="AL23" s="58"/>
      <c r="AM23" s="58"/>
      <c r="AN23" s="59"/>
      <c r="AO23" s="40">
        <f t="shared" si="6"/>
        <v>0</v>
      </c>
    </row>
    <row r="24" spans="1:41" ht="21.75" customHeight="1" x14ac:dyDescent="0.25">
      <c r="A24" s="7" t="s">
        <v>17</v>
      </c>
      <c r="B24" s="33">
        <v>8621</v>
      </c>
      <c r="C24" s="7"/>
      <c r="D24" s="7"/>
      <c r="E24" s="17">
        <f t="shared" si="3"/>
        <v>0</v>
      </c>
      <c r="F24" s="7"/>
      <c r="G24" s="7"/>
      <c r="H24" s="17">
        <f t="shared" si="0"/>
        <v>0</v>
      </c>
      <c r="I24" s="37">
        <f t="shared" si="1"/>
        <v>0</v>
      </c>
      <c r="J24" s="56"/>
      <c r="K24" s="57"/>
      <c r="L24" s="57"/>
      <c r="M24" s="58"/>
      <c r="N24" s="58"/>
      <c r="O24" s="59"/>
      <c r="P24" s="60">
        <f t="shared" si="2"/>
        <v>0</v>
      </c>
      <c r="Q24" s="87"/>
      <c r="R24" s="62"/>
      <c r="S24" s="68"/>
      <c r="T24" s="68"/>
      <c r="U24" s="68"/>
      <c r="V24" s="69"/>
      <c r="W24" s="76"/>
      <c r="X24" s="61">
        <f t="shared" si="4"/>
        <v>0</v>
      </c>
      <c r="Y24" s="87"/>
      <c r="Z24" s="56"/>
      <c r="AA24" s="57"/>
      <c r="AB24" s="57"/>
      <c r="AC24" s="57"/>
      <c r="AD24" s="58"/>
      <c r="AE24" s="59"/>
      <c r="AF24" s="61">
        <f t="shared" si="5"/>
        <v>0</v>
      </c>
      <c r="AG24" s="87"/>
      <c r="AH24" s="56"/>
      <c r="AI24" s="57"/>
      <c r="AJ24" s="57"/>
      <c r="AK24" s="57"/>
      <c r="AL24" s="58"/>
      <c r="AM24" s="58"/>
      <c r="AN24" s="59"/>
      <c r="AO24" s="40">
        <f t="shared" si="6"/>
        <v>0</v>
      </c>
    </row>
    <row r="25" spans="1:41" ht="21.75" customHeight="1" x14ac:dyDescent="0.25">
      <c r="A25" s="7" t="s">
        <v>18</v>
      </c>
      <c r="B25" s="33">
        <v>8622</v>
      </c>
      <c r="C25" s="7">
        <v>13703</v>
      </c>
      <c r="D25" s="7">
        <v>13715</v>
      </c>
      <c r="E25" s="17">
        <f t="shared" si="3"/>
        <v>12</v>
      </c>
      <c r="F25" s="7">
        <v>177072</v>
      </c>
      <c r="G25" s="7">
        <v>177248</v>
      </c>
      <c r="H25" s="17">
        <f t="shared" si="0"/>
        <v>176</v>
      </c>
      <c r="I25" s="37">
        <f t="shared" si="1"/>
        <v>10</v>
      </c>
      <c r="J25" s="56">
        <v>10</v>
      </c>
      <c r="K25" s="57"/>
      <c r="L25" s="57"/>
      <c r="M25" s="58"/>
      <c r="N25" s="58"/>
      <c r="O25" s="63"/>
      <c r="P25" s="60">
        <f t="shared" si="2"/>
        <v>0</v>
      </c>
      <c r="Q25" s="87"/>
      <c r="R25" s="62"/>
      <c r="S25" s="68"/>
      <c r="T25" s="68"/>
      <c r="U25" s="68"/>
      <c r="V25" s="69"/>
      <c r="W25" s="76"/>
      <c r="X25" s="61">
        <f t="shared" si="4"/>
        <v>0</v>
      </c>
      <c r="Y25" s="87"/>
      <c r="Z25" s="56"/>
      <c r="AA25" s="57"/>
      <c r="AB25" s="57"/>
      <c r="AC25" s="57"/>
      <c r="AD25" s="58"/>
      <c r="AE25" s="59"/>
      <c r="AF25" s="61">
        <f t="shared" si="5"/>
        <v>0</v>
      </c>
      <c r="AG25" s="87"/>
      <c r="AH25" s="56"/>
      <c r="AI25" s="57"/>
      <c r="AJ25" s="57"/>
      <c r="AK25" s="57"/>
      <c r="AL25" s="58"/>
      <c r="AM25" s="58"/>
      <c r="AN25" s="59"/>
      <c r="AO25" s="40">
        <f t="shared" si="6"/>
        <v>0</v>
      </c>
    </row>
    <row r="26" spans="1:41" ht="21.75" customHeight="1" x14ac:dyDescent="0.25">
      <c r="A26" s="7" t="s">
        <v>19</v>
      </c>
      <c r="B26" s="33">
        <v>8623</v>
      </c>
      <c r="C26" s="7">
        <v>13700</v>
      </c>
      <c r="D26" s="7">
        <v>13711</v>
      </c>
      <c r="E26" s="17">
        <f t="shared" si="3"/>
        <v>11</v>
      </c>
      <c r="F26" s="7">
        <v>180389</v>
      </c>
      <c r="G26" s="7">
        <v>180555</v>
      </c>
      <c r="H26" s="17">
        <f t="shared" si="0"/>
        <v>166</v>
      </c>
      <c r="I26" s="37">
        <f t="shared" si="1"/>
        <v>10</v>
      </c>
      <c r="J26" s="56">
        <v>10</v>
      </c>
      <c r="K26" s="57"/>
      <c r="L26" s="57"/>
      <c r="M26" s="58"/>
      <c r="N26" s="64"/>
      <c r="O26" s="65"/>
      <c r="P26" s="60">
        <f t="shared" si="2"/>
        <v>0</v>
      </c>
      <c r="Q26" s="87"/>
      <c r="R26" s="62"/>
      <c r="S26" s="68"/>
      <c r="T26" s="68"/>
      <c r="U26" s="68"/>
      <c r="V26" s="69"/>
      <c r="W26" s="76"/>
      <c r="X26" s="61">
        <f t="shared" si="4"/>
        <v>0</v>
      </c>
      <c r="Y26" s="87"/>
      <c r="Z26" s="56"/>
      <c r="AA26" s="57"/>
      <c r="AB26" s="66"/>
      <c r="AC26" s="57"/>
      <c r="AD26" s="58"/>
      <c r="AE26" s="59"/>
      <c r="AF26" s="61">
        <f t="shared" si="5"/>
        <v>0</v>
      </c>
      <c r="AG26" s="87"/>
      <c r="AH26" s="56"/>
      <c r="AI26" s="67"/>
      <c r="AJ26" s="57"/>
      <c r="AK26" s="57"/>
      <c r="AL26" s="58"/>
      <c r="AM26" s="58"/>
      <c r="AN26" s="59"/>
      <c r="AO26" s="40">
        <f t="shared" si="6"/>
        <v>0</v>
      </c>
    </row>
    <row r="27" spans="1:41" ht="20.25" customHeight="1" x14ac:dyDescent="0.25">
      <c r="A27" s="7" t="s">
        <v>20</v>
      </c>
      <c r="B27" s="33">
        <v>8624</v>
      </c>
      <c r="C27" s="7">
        <v>5218</v>
      </c>
      <c r="D27" s="7">
        <v>5228</v>
      </c>
      <c r="E27" s="17">
        <f t="shared" si="3"/>
        <v>10</v>
      </c>
      <c r="F27" s="7">
        <v>235206</v>
      </c>
      <c r="G27" s="7">
        <v>235372</v>
      </c>
      <c r="H27" s="17">
        <f t="shared" si="0"/>
        <v>166</v>
      </c>
      <c r="I27" s="37">
        <f t="shared" si="1"/>
        <v>13</v>
      </c>
      <c r="J27" s="56"/>
      <c r="K27" s="68"/>
      <c r="L27" s="57"/>
      <c r="M27" s="58"/>
      <c r="N27" s="58"/>
      <c r="O27" s="59"/>
      <c r="P27" s="60">
        <f t="shared" si="2"/>
        <v>0</v>
      </c>
      <c r="Q27" s="87"/>
      <c r="R27" s="62"/>
      <c r="S27" s="68"/>
      <c r="T27" s="68"/>
      <c r="U27" s="68"/>
      <c r="V27" s="69"/>
      <c r="W27" s="76"/>
      <c r="X27" s="61">
        <f t="shared" si="4"/>
        <v>0</v>
      </c>
      <c r="Y27" s="87"/>
      <c r="Z27" s="56">
        <v>5</v>
      </c>
      <c r="AA27" s="57">
        <v>8</v>
      </c>
      <c r="AB27" s="57"/>
      <c r="AC27" s="57"/>
      <c r="AD27" s="58"/>
      <c r="AE27" s="59"/>
      <c r="AF27" s="61">
        <f t="shared" si="5"/>
        <v>8</v>
      </c>
      <c r="AG27" s="87"/>
      <c r="AH27" s="56"/>
      <c r="AI27" s="67"/>
      <c r="AJ27" s="57"/>
      <c r="AK27" s="57"/>
      <c r="AL27" s="58"/>
      <c r="AM27" s="58"/>
      <c r="AN27" s="59"/>
      <c r="AO27" s="40">
        <f t="shared" si="6"/>
        <v>0</v>
      </c>
    </row>
    <row r="28" spans="1:41" ht="21.75" customHeight="1" x14ac:dyDescent="0.25">
      <c r="A28" s="7" t="s">
        <v>21</v>
      </c>
      <c r="B28" s="33">
        <v>8625</v>
      </c>
      <c r="C28" s="7">
        <v>7319</v>
      </c>
      <c r="D28" s="7">
        <v>7328</v>
      </c>
      <c r="E28" s="17">
        <f t="shared" si="3"/>
        <v>9</v>
      </c>
      <c r="F28" s="7">
        <v>279645</v>
      </c>
      <c r="G28" s="7">
        <v>279734</v>
      </c>
      <c r="H28" s="17">
        <f t="shared" si="0"/>
        <v>89</v>
      </c>
      <c r="I28" s="37">
        <f t="shared" si="1"/>
        <v>5</v>
      </c>
      <c r="J28" s="56"/>
      <c r="K28" s="57"/>
      <c r="L28" s="57"/>
      <c r="M28" s="58"/>
      <c r="N28" s="58"/>
      <c r="O28" s="59"/>
      <c r="P28" s="60">
        <f t="shared" si="2"/>
        <v>0</v>
      </c>
      <c r="Q28" s="87"/>
      <c r="R28" s="62"/>
      <c r="S28" s="68"/>
      <c r="T28" s="68"/>
      <c r="U28" s="68"/>
      <c r="V28" s="69"/>
      <c r="W28" s="76"/>
      <c r="X28" s="61">
        <f t="shared" si="4"/>
        <v>0</v>
      </c>
      <c r="Y28" s="87"/>
      <c r="Z28" s="56"/>
      <c r="AA28" s="57"/>
      <c r="AB28" s="57"/>
      <c r="AC28" s="57"/>
      <c r="AD28" s="58"/>
      <c r="AE28" s="59"/>
      <c r="AF28" s="61">
        <f t="shared" si="5"/>
        <v>0</v>
      </c>
      <c r="AG28" s="87"/>
      <c r="AH28" s="56">
        <v>2</v>
      </c>
      <c r="AI28" s="67"/>
      <c r="AJ28" s="57">
        <v>3</v>
      </c>
      <c r="AK28" s="57"/>
      <c r="AL28" s="58"/>
      <c r="AM28" s="58"/>
      <c r="AN28" s="59"/>
      <c r="AO28" s="40">
        <f t="shared" si="6"/>
        <v>3</v>
      </c>
    </row>
    <row r="29" spans="1:41" ht="21.75" customHeight="1" x14ac:dyDescent="0.25">
      <c r="A29" s="7" t="s">
        <v>22</v>
      </c>
      <c r="B29" s="33">
        <v>8626</v>
      </c>
      <c r="C29" s="7"/>
      <c r="D29" s="7"/>
      <c r="E29" s="17">
        <f t="shared" si="3"/>
        <v>0</v>
      </c>
      <c r="F29" s="7"/>
      <c r="G29" s="7"/>
      <c r="H29" s="17">
        <f t="shared" si="0"/>
        <v>0</v>
      </c>
      <c r="I29" s="37">
        <f t="shared" si="1"/>
        <v>0</v>
      </c>
      <c r="J29" s="56"/>
      <c r="K29" s="57"/>
      <c r="L29" s="57"/>
      <c r="M29" s="58"/>
      <c r="N29" s="58"/>
      <c r="O29" s="59"/>
      <c r="P29" s="60">
        <f t="shared" si="2"/>
        <v>0</v>
      </c>
      <c r="Q29" s="87"/>
      <c r="R29" s="62"/>
      <c r="S29" s="68"/>
      <c r="T29" s="68"/>
      <c r="U29" s="68"/>
      <c r="V29" s="69"/>
      <c r="W29" s="76"/>
      <c r="X29" s="61">
        <f t="shared" si="4"/>
        <v>0</v>
      </c>
      <c r="Y29" s="87"/>
      <c r="Z29" s="56"/>
      <c r="AA29" s="57"/>
      <c r="AB29" s="57"/>
      <c r="AC29" s="57"/>
      <c r="AD29" s="58"/>
      <c r="AE29" s="59"/>
      <c r="AF29" s="61">
        <f t="shared" si="5"/>
        <v>0</v>
      </c>
      <c r="AG29" s="87"/>
      <c r="AH29" s="56"/>
      <c r="AI29" s="67"/>
      <c r="AJ29" s="57"/>
      <c r="AK29" s="57"/>
      <c r="AL29" s="58"/>
      <c r="AM29" s="58"/>
      <c r="AN29" s="59"/>
      <c r="AO29" s="40">
        <f t="shared" si="6"/>
        <v>0</v>
      </c>
    </row>
    <row r="30" spans="1:41" ht="21.75" customHeight="1" x14ac:dyDescent="0.25">
      <c r="A30" s="7" t="s">
        <v>23</v>
      </c>
      <c r="B30" s="33">
        <v>8627</v>
      </c>
      <c r="C30" s="7">
        <v>11329</v>
      </c>
      <c r="D30" s="7">
        <v>11337</v>
      </c>
      <c r="E30" s="17">
        <f t="shared" si="3"/>
        <v>8</v>
      </c>
      <c r="F30" s="7">
        <v>139996</v>
      </c>
      <c r="G30" s="7">
        <v>140077</v>
      </c>
      <c r="H30" s="17">
        <f t="shared" si="0"/>
        <v>81</v>
      </c>
      <c r="I30" s="37">
        <f t="shared" si="1"/>
        <v>6</v>
      </c>
      <c r="J30" s="56"/>
      <c r="K30" s="57"/>
      <c r="L30" s="57"/>
      <c r="M30" s="58"/>
      <c r="N30" s="58"/>
      <c r="O30" s="59"/>
      <c r="P30" s="60">
        <f t="shared" si="2"/>
        <v>0</v>
      </c>
      <c r="Q30" s="87"/>
      <c r="R30" s="62"/>
      <c r="S30" s="68"/>
      <c r="T30" s="68"/>
      <c r="U30" s="68"/>
      <c r="V30" s="69"/>
      <c r="W30" s="76"/>
      <c r="X30" s="61">
        <f t="shared" si="4"/>
        <v>0</v>
      </c>
      <c r="Y30" s="87"/>
      <c r="Z30" s="56"/>
      <c r="AA30" s="57"/>
      <c r="AB30" s="57"/>
      <c r="AC30" s="57"/>
      <c r="AD30" s="58"/>
      <c r="AE30" s="59"/>
      <c r="AF30" s="61">
        <f t="shared" si="5"/>
        <v>0</v>
      </c>
      <c r="AG30" s="87"/>
      <c r="AH30" s="56">
        <v>1</v>
      </c>
      <c r="AI30" s="67"/>
      <c r="AJ30" s="57">
        <v>4</v>
      </c>
      <c r="AK30" s="122">
        <v>1</v>
      </c>
      <c r="AL30" s="58"/>
      <c r="AM30" s="58"/>
      <c r="AN30" s="59"/>
      <c r="AO30" s="40">
        <f t="shared" si="6"/>
        <v>5</v>
      </c>
    </row>
    <row r="31" spans="1:41" ht="21.75" customHeight="1" x14ac:dyDescent="0.25">
      <c r="A31" s="7" t="s">
        <v>24</v>
      </c>
      <c r="B31" s="33">
        <v>8628</v>
      </c>
      <c r="C31" s="7">
        <v>10734</v>
      </c>
      <c r="D31" s="7">
        <f>+C31+11</f>
        <v>10745</v>
      </c>
      <c r="E31" s="17">
        <f t="shared" si="3"/>
        <v>11</v>
      </c>
      <c r="F31" s="7">
        <v>144556</v>
      </c>
      <c r="G31" s="7">
        <v>144747</v>
      </c>
      <c r="H31" s="17">
        <f t="shared" si="0"/>
        <v>191</v>
      </c>
      <c r="I31" s="37">
        <f t="shared" si="1"/>
        <v>15</v>
      </c>
      <c r="J31" s="56"/>
      <c r="K31" s="57"/>
      <c r="L31" s="57"/>
      <c r="M31" s="58"/>
      <c r="N31" s="58"/>
      <c r="O31" s="59"/>
      <c r="P31" s="60">
        <f t="shared" si="2"/>
        <v>0</v>
      </c>
      <c r="Q31" s="87"/>
      <c r="R31" s="62"/>
      <c r="S31" s="68"/>
      <c r="T31" s="68"/>
      <c r="U31" s="68"/>
      <c r="V31" s="69"/>
      <c r="W31" s="76"/>
      <c r="X31" s="61">
        <f t="shared" si="4"/>
        <v>0</v>
      </c>
      <c r="Y31" s="87"/>
      <c r="Z31" s="56">
        <v>6</v>
      </c>
      <c r="AA31" s="57">
        <v>9</v>
      </c>
      <c r="AB31" s="57"/>
      <c r="AC31" s="57"/>
      <c r="AD31" s="58"/>
      <c r="AE31" s="59"/>
      <c r="AF31" s="61">
        <f t="shared" si="5"/>
        <v>9</v>
      </c>
      <c r="AG31" s="87"/>
      <c r="AH31" s="56"/>
      <c r="AI31" s="67"/>
      <c r="AJ31" s="57"/>
      <c r="AK31" s="57"/>
      <c r="AL31" s="58"/>
      <c r="AM31" s="58"/>
      <c r="AN31" s="59"/>
      <c r="AO31" s="40">
        <f t="shared" si="6"/>
        <v>0</v>
      </c>
    </row>
    <row r="32" spans="1:41" ht="21.75" customHeight="1" x14ac:dyDescent="0.25">
      <c r="A32" s="7" t="s">
        <v>25</v>
      </c>
      <c r="B32" s="33">
        <v>8629</v>
      </c>
      <c r="C32" s="7">
        <v>11168</v>
      </c>
      <c r="D32" s="7">
        <v>11179</v>
      </c>
      <c r="E32" s="17">
        <f t="shared" si="3"/>
        <v>11</v>
      </c>
      <c r="F32" s="7">
        <v>145581</v>
      </c>
      <c r="G32" s="7">
        <v>145720</v>
      </c>
      <c r="H32" s="17">
        <f t="shared" si="0"/>
        <v>139</v>
      </c>
      <c r="I32" s="37">
        <f t="shared" si="1"/>
        <v>9</v>
      </c>
      <c r="J32" s="56"/>
      <c r="K32" s="57"/>
      <c r="L32" s="57"/>
      <c r="M32" s="58"/>
      <c r="N32" s="58"/>
      <c r="O32" s="59"/>
      <c r="P32" s="60">
        <f t="shared" si="2"/>
        <v>0</v>
      </c>
      <c r="Q32" s="87"/>
      <c r="R32" s="62"/>
      <c r="S32" s="68"/>
      <c r="T32" s="68"/>
      <c r="U32" s="68"/>
      <c r="V32" s="69"/>
      <c r="W32" s="76"/>
      <c r="X32" s="61">
        <f t="shared" si="4"/>
        <v>0</v>
      </c>
      <c r="Y32" s="87"/>
      <c r="Z32" s="56"/>
      <c r="AA32" s="57"/>
      <c r="AB32" s="57"/>
      <c r="AC32" s="57"/>
      <c r="AD32" s="58"/>
      <c r="AE32" s="59"/>
      <c r="AF32" s="61">
        <f t="shared" si="5"/>
        <v>0</v>
      </c>
      <c r="AG32" s="87"/>
      <c r="AH32" s="56">
        <v>4</v>
      </c>
      <c r="AI32" s="67"/>
      <c r="AJ32" s="57">
        <v>5</v>
      </c>
      <c r="AK32" s="57"/>
      <c r="AL32" s="58"/>
      <c r="AM32" s="58"/>
      <c r="AN32" s="59"/>
      <c r="AO32" s="40">
        <f t="shared" si="6"/>
        <v>5</v>
      </c>
    </row>
    <row r="33" spans="1:41" ht="21.75" customHeight="1" x14ac:dyDescent="0.25">
      <c r="A33" s="7" t="s">
        <v>26</v>
      </c>
      <c r="B33" s="33">
        <v>8630</v>
      </c>
      <c r="C33" s="7"/>
      <c r="D33" s="7"/>
      <c r="E33" s="17">
        <f t="shared" si="3"/>
        <v>0</v>
      </c>
      <c r="F33" s="7"/>
      <c r="G33" s="7"/>
      <c r="H33" s="17">
        <f t="shared" si="0"/>
        <v>0</v>
      </c>
      <c r="I33" s="37">
        <f t="shared" si="1"/>
        <v>0</v>
      </c>
      <c r="J33" s="56"/>
      <c r="K33" s="57"/>
      <c r="L33" s="57"/>
      <c r="M33" s="58"/>
      <c r="N33" s="58"/>
      <c r="O33" s="59"/>
      <c r="P33" s="60">
        <f t="shared" si="2"/>
        <v>0</v>
      </c>
      <c r="Q33" s="87"/>
      <c r="R33" s="62"/>
      <c r="S33" s="68"/>
      <c r="T33" s="68"/>
      <c r="U33" s="68"/>
      <c r="V33" s="69"/>
      <c r="W33" s="76"/>
      <c r="X33" s="61">
        <f t="shared" si="4"/>
        <v>0</v>
      </c>
      <c r="Y33" s="87"/>
      <c r="Z33" s="56"/>
      <c r="AA33" s="57"/>
      <c r="AB33" s="57"/>
      <c r="AC33" s="57"/>
      <c r="AD33" s="58"/>
      <c r="AE33" s="59"/>
      <c r="AF33" s="61">
        <f t="shared" si="5"/>
        <v>0</v>
      </c>
      <c r="AG33" s="87"/>
      <c r="AH33" s="56"/>
      <c r="AI33" s="67"/>
      <c r="AJ33" s="57"/>
      <c r="AK33" s="57"/>
      <c r="AL33" s="58"/>
      <c r="AM33" s="58"/>
      <c r="AN33" s="59"/>
      <c r="AO33" s="40">
        <f t="shared" si="6"/>
        <v>0</v>
      </c>
    </row>
    <row r="34" spans="1:41" ht="21.75" customHeight="1" x14ac:dyDescent="0.25">
      <c r="A34" s="7" t="s">
        <v>27</v>
      </c>
      <c r="B34" s="33">
        <v>8632</v>
      </c>
      <c r="C34" s="7">
        <v>9149</v>
      </c>
      <c r="D34" s="7">
        <v>9159.2999999999993</v>
      </c>
      <c r="E34" s="17">
        <f t="shared" si="3"/>
        <v>10.299999999999272</v>
      </c>
      <c r="F34" s="7">
        <v>111498</v>
      </c>
      <c r="G34" s="7">
        <f>+F34+130</f>
        <v>111628</v>
      </c>
      <c r="H34" s="17">
        <f t="shared" si="0"/>
        <v>130</v>
      </c>
      <c r="I34" s="37">
        <f t="shared" si="1"/>
        <v>8</v>
      </c>
      <c r="J34" s="109"/>
      <c r="K34" s="110"/>
      <c r="L34" s="110"/>
      <c r="M34" s="111"/>
      <c r="N34" s="111"/>
      <c r="O34" s="112"/>
      <c r="P34" s="60">
        <f t="shared" si="2"/>
        <v>0</v>
      </c>
      <c r="Q34" s="87"/>
      <c r="R34" s="62"/>
      <c r="S34" s="68"/>
      <c r="T34" s="68"/>
      <c r="U34" s="68"/>
      <c r="V34" s="69"/>
      <c r="W34" s="76"/>
      <c r="X34" s="61">
        <f t="shared" si="4"/>
        <v>0</v>
      </c>
      <c r="Y34" s="87"/>
      <c r="Z34" s="56"/>
      <c r="AA34" s="57"/>
      <c r="AB34" s="57"/>
      <c r="AC34" s="57"/>
      <c r="AD34" s="58"/>
      <c r="AE34" s="59"/>
      <c r="AF34" s="61">
        <f t="shared" si="5"/>
        <v>0</v>
      </c>
      <c r="AG34" s="87"/>
      <c r="AH34" s="56">
        <v>6</v>
      </c>
      <c r="AI34" s="67"/>
      <c r="AJ34" s="57">
        <v>2</v>
      </c>
      <c r="AK34" s="57"/>
      <c r="AL34" s="58"/>
      <c r="AM34" s="58"/>
      <c r="AN34" s="59"/>
      <c r="AO34" s="40">
        <f t="shared" si="6"/>
        <v>2</v>
      </c>
    </row>
    <row r="35" spans="1:41" ht="21.75" customHeight="1" x14ac:dyDescent="0.25">
      <c r="A35" s="7" t="s">
        <v>34</v>
      </c>
      <c r="B35" s="33">
        <v>8633</v>
      </c>
      <c r="C35" s="7">
        <v>8005.3</v>
      </c>
      <c r="D35" s="7">
        <v>8017.2</v>
      </c>
      <c r="E35" s="17">
        <f t="shared" si="3"/>
        <v>11.899999999999636</v>
      </c>
      <c r="F35" s="7">
        <v>91598</v>
      </c>
      <c r="G35" s="7">
        <f>+F35+130</f>
        <v>91728</v>
      </c>
      <c r="H35" s="17">
        <f t="shared" si="0"/>
        <v>130</v>
      </c>
      <c r="I35" s="37">
        <f t="shared" si="1"/>
        <v>11</v>
      </c>
      <c r="J35" s="56"/>
      <c r="K35" s="57"/>
      <c r="L35" s="57"/>
      <c r="M35" s="58"/>
      <c r="N35" s="58"/>
      <c r="O35" s="59"/>
      <c r="P35" s="60">
        <f t="shared" si="2"/>
        <v>0</v>
      </c>
      <c r="Q35" s="87"/>
      <c r="R35" s="62"/>
      <c r="S35" s="68"/>
      <c r="T35" s="68"/>
      <c r="U35" s="68"/>
      <c r="V35" s="69"/>
      <c r="W35" s="76"/>
      <c r="X35" s="61">
        <f t="shared" si="4"/>
        <v>0</v>
      </c>
      <c r="Y35" s="87"/>
      <c r="Z35" s="56">
        <v>5</v>
      </c>
      <c r="AA35" s="57">
        <v>6</v>
      </c>
      <c r="AB35" s="57"/>
      <c r="AC35" s="57"/>
      <c r="AD35" s="58"/>
      <c r="AE35" s="59"/>
      <c r="AF35" s="61">
        <f t="shared" si="5"/>
        <v>6</v>
      </c>
      <c r="AG35" s="87"/>
      <c r="AH35" s="56"/>
      <c r="AI35" s="67"/>
      <c r="AJ35" s="57"/>
      <c r="AK35" s="57"/>
      <c r="AL35" s="58"/>
      <c r="AM35" s="58"/>
      <c r="AN35" s="59"/>
      <c r="AO35" s="40">
        <f t="shared" si="6"/>
        <v>0</v>
      </c>
    </row>
    <row r="36" spans="1:41" ht="21.75" customHeight="1" x14ac:dyDescent="0.25">
      <c r="A36" s="7" t="s">
        <v>33</v>
      </c>
      <c r="B36" s="34">
        <v>8644</v>
      </c>
      <c r="C36" s="7"/>
      <c r="D36" s="7"/>
      <c r="E36" s="17">
        <f t="shared" si="3"/>
        <v>0</v>
      </c>
      <c r="F36" s="7"/>
      <c r="G36" s="7"/>
      <c r="H36" s="17">
        <f t="shared" si="0"/>
        <v>0</v>
      </c>
      <c r="I36" s="91">
        <f t="shared" si="1"/>
        <v>0</v>
      </c>
      <c r="J36" s="56"/>
      <c r="K36" s="57"/>
      <c r="L36" s="57"/>
      <c r="M36" s="58"/>
      <c r="N36" s="58"/>
      <c r="O36" s="59"/>
      <c r="P36" s="60">
        <f t="shared" si="2"/>
        <v>0</v>
      </c>
      <c r="Q36" s="87"/>
      <c r="R36" s="62"/>
      <c r="S36" s="68"/>
      <c r="T36" s="68"/>
      <c r="U36" s="68"/>
      <c r="V36" s="69"/>
      <c r="W36" s="76"/>
      <c r="X36" s="61">
        <f t="shared" si="4"/>
        <v>0</v>
      </c>
      <c r="Y36" s="87"/>
      <c r="Z36" s="56"/>
      <c r="AA36" s="57"/>
      <c r="AB36" s="57"/>
      <c r="AC36" s="57"/>
      <c r="AD36" s="58"/>
      <c r="AE36" s="59"/>
      <c r="AF36" s="61">
        <f t="shared" si="5"/>
        <v>0</v>
      </c>
      <c r="AG36" s="87"/>
      <c r="AH36" s="56"/>
      <c r="AI36" s="67"/>
      <c r="AJ36" s="57"/>
      <c r="AK36" s="57"/>
      <c r="AL36" s="58"/>
      <c r="AM36" s="58"/>
      <c r="AN36" s="59"/>
      <c r="AO36" s="40">
        <f t="shared" si="6"/>
        <v>0</v>
      </c>
    </row>
    <row r="37" spans="1:41" ht="21.75" customHeight="1" x14ac:dyDescent="0.25">
      <c r="A37" s="7" t="s">
        <v>33</v>
      </c>
      <c r="B37" s="34">
        <v>8645</v>
      </c>
      <c r="C37" s="7">
        <v>10643</v>
      </c>
      <c r="D37" s="7">
        <f>+C37+10</f>
        <v>10653</v>
      </c>
      <c r="E37" s="17">
        <f t="shared" si="3"/>
        <v>10</v>
      </c>
      <c r="F37" s="7">
        <v>140574</v>
      </c>
      <c r="G37" s="7">
        <f>+F37+120</f>
        <v>140694</v>
      </c>
      <c r="H37" s="17">
        <f t="shared" si="0"/>
        <v>120</v>
      </c>
      <c r="I37" s="91">
        <f t="shared" si="1"/>
        <v>9</v>
      </c>
      <c r="J37" s="56"/>
      <c r="K37" s="68"/>
      <c r="L37" s="68"/>
      <c r="M37" s="69"/>
      <c r="N37" s="69"/>
      <c r="O37" s="59"/>
      <c r="P37" s="60">
        <f t="shared" si="2"/>
        <v>0</v>
      </c>
      <c r="Q37" s="87"/>
      <c r="R37" s="62"/>
      <c r="S37" s="68"/>
      <c r="T37" s="68"/>
      <c r="U37" s="68"/>
      <c r="V37" s="69"/>
      <c r="W37" s="76"/>
      <c r="X37" s="61">
        <f t="shared" si="4"/>
        <v>0</v>
      </c>
      <c r="Y37" s="87"/>
      <c r="Z37" s="56"/>
      <c r="AA37" s="57"/>
      <c r="AB37" s="57"/>
      <c r="AC37" s="57"/>
      <c r="AD37" s="58"/>
      <c r="AE37" s="59"/>
      <c r="AF37" s="61">
        <f t="shared" si="5"/>
        <v>0</v>
      </c>
      <c r="AG37" s="87"/>
      <c r="AH37" s="56">
        <v>6</v>
      </c>
      <c r="AI37" s="67"/>
      <c r="AJ37" s="57">
        <v>3</v>
      </c>
      <c r="AK37" s="57"/>
      <c r="AL37" s="58"/>
      <c r="AM37" s="58"/>
      <c r="AN37" s="59"/>
      <c r="AO37" s="40">
        <f t="shared" si="6"/>
        <v>3</v>
      </c>
    </row>
    <row r="38" spans="1:41" ht="21.75" customHeight="1" x14ac:dyDescent="0.25">
      <c r="A38" s="7" t="s">
        <v>28</v>
      </c>
      <c r="B38" s="33">
        <v>8651</v>
      </c>
      <c r="C38" s="7">
        <v>6330</v>
      </c>
      <c r="D38" s="7">
        <v>6340.9</v>
      </c>
      <c r="E38" s="17">
        <f t="shared" si="3"/>
        <v>10.899999999999636</v>
      </c>
      <c r="F38" s="7">
        <v>81580</v>
      </c>
      <c r="G38" s="7">
        <v>81734</v>
      </c>
      <c r="H38" s="17">
        <f t="shared" si="0"/>
        <v>154</v>
      </c>
      <c r="I38" s="91">
        <f t="shared" si="1"/>
        <v>13</v>
      </c>
      <c r="J38" s="62"/>
      <c r="K38" s="57"/>
      <c r="L38" s="57"/>
      <c r="M38" s="58"/>
      <c r="N38" s="58"/>
      <c r="O38" s="59"/>
      <c r="P38" s="60">
        <f t="shared" si="2"/>
        <v>0</v>
      </c>
      <c r="Q38" s="87"/>
      <c r="R38" s="62">
        <v>9</v>
      </c>
      <c r="S38" s="68">
        <v>2</v>
      </c>
      <c r="T38" s="68">
        <v>2</v>
      </c>
      <c r="U38" s="68"/>
      <c r="V38" s="69"/>
      <c r="W38" s="76"/>
      <c r="X38" s="61">
        <f t="shared" si="4"/>
        <v>4</v>
      </c>
      <c r="Y38" s="87"/>
      <c r="Z38" s="56"/>
      <c r="AA38" s="57"/>
      <c r="AB38" s="57"/>
      <c r="AC38" s="57"/>
      <c r="AD38" s="58"/>
      <c r="AE38" s="59"/>
      <c r="AF38" s="61">
        <f t="shared" si="5"/>
        <v>0</v>
      </c>
      <c r="AG38" s="87"/>
      <c r="AH38" s="56"/>
      <c r="AI38" s="67"/>
      <c r="AJ38" s="57"/>
      <c r="AK38" s="57"/>
      <c r="AL38" s="58"/>
      <c r="AM38" s="58"/>
      <c r="AN38" s="59"/>
      <c r="AO38" s="40">
        <f t="shared" si="6"/>
        <v>0</v>
      </c>
    </row>
    <row r="39" spans="1:41" ht="21.75" customHeight="1" thickBot="1" x14ac:dyDescent="0.3">
      <c r="A39" s="8" t="s">
        <v>29</v>
      </c>
      <c r="B39" s="81">
        <v>8652</v>
      </c>
      <c r="C39" s="8">
        <v>5884.6</v>
      </c>
      <c r="D39" s="8">
        <v>5895</v>
      </c>
      <c r="E39" s="17">
        <f t="shared" si="3"/>
        <v>10.399999999999636</v>
      </c>
      <c r="F39" s="8">
        <v>75461</v>
      </c>
      <c r="G39" s="8">
        <v>75656</v>
      </c>
      <c r="H39" s="82">
        <f t="shared" si="0"/>
        <v>195</v>
      </c>
      <c r="I39" s="92">
        <f t="shared" si="1"/>
        <v>14</v>
      </c>
      <c r="J39" s="70"/>
      <c r="K39" s="71"/>
      <c r="L39" s="71"/>
      <c r="M39" s="72"/>
      <c r="N39" s="72"/>
      <c r="O39" s="73"/>
      <c r="P39" s="74">
        <f t="shared" si="2"/>
        <v>0</v>
      </c>
      <c r="Q39" s="87"/>
      <c r="R39" s="77"/>
      <c r="S39" s="78"/>
      <c r="T39" s="78"/>
      <c r="U39" s="78"/>
      <c r="V39" s="79"/>
      <c r="W39" s="80"/>
      <c r="X39" s="93">
        <f t="shared" si="4"/>
        <v>0</v>
      </c>
      <c r="Y39" s="87"/>
      <c r="Z39" s="70">
        <v>7</v>
      </c>
      <c r="AA39" s="71">
        <v>7</v>
      </c>
      <c r="AB39" s="71"/>
      <c r="AC39" s="71"/>
      <c r="AD39" s="72"/>
      <c r="AE39" s="73"/>
      <c r="AF39" s="93">
        <f t="shared" si="5"/>
        <v>7</v>
      </c>
      <c r="AG39" s="87"/>
      <c r="AH39" s="70"/>
      <c r="AI39" s="75"/>
      <c r="AJ39" s="71"/>
      <c r="AK39" s="71"/>
      <c r="AL39" s="72"/>
      <c r="AM39" s="72"/>
      <c r="AN39" s="73"/>
      <c r="AO39" s="41">
        <f t="shared" si="6"/>
        <v>0</v>
      </c>
    </row>
    <row r="40" spans="1:41" ht="24.75" customHeight="1" x14ac:dyDescent="0.25">
      <c r="I40" s="89">
        <f>SUM(I4:I39)</f>
        <v>242</v>
      </c>
      <c r="J40" s="88">
        <f>SUM(J4:J39)</f>
        <v>111</v>
      </c>
      <c r="K40" s="88">
        <f>SUM(K4:K39)</f>
        <v>0</v>
      </c>
      <c r="L40" s="88">
        <f>SUM(L4:L39)</f>
        <v>0</v>
      </c>
      <c r="M40" s="88">
        <f t="shared" ref="M40" si="7">SUM(M4:M39)</f>
        <v>0</v>
      </c>
      <c r="N40" s="88">
        <f>SUM(N4:N39)</f>
        <v>0</v>
      </c>
      <c r="O40" s="88">
        <f>SUM(O4:O39)</f>
        <v>0</v>
      </c>
      <c r="P40" s="113">
        <f>SUM(J40:O40)</f>
        <v>111</v>
      </c>
      <c r="R40" s="108">
        <f t="shared" ref="R40:W40" si="8">SUM(R4:R39)</f>
        <v>24</v>
      </c>
      <c r="S40" s="83">
        <f t="shared" si="8"/>
        <v>8</v>
      </c>
      <c r="T40" s="83">
        <f t="shared" si="8"/>
        <v>9</v>
      </c>
      <c r="U40" s="83">
        <f t="shared" si="8"/>
        <v>0</v>
      </c>
      <c r="V40" s="83">
        <f t="shared" si="8"/>
        <v>0</v>
      </c>
      <c r="W40" s="83">
        <f t="shared" si="8"/>
        <v>0</v>
      </c>
      <c r="X40" s="114">
        <f>SUM(R40:W40)</f>
        <v>41</v>
      </c>
      <c r="Z40" s="94">
        <f t="shared" ref="Z40:AE40" si="9">SUM(Z4:Z39)</f>
        <v>23</v>
      </c>
      <c r="AA40" s="83">
        <f t="shared" si="9"/>
        <v>30</v>
      </c>
      <c r="AB40" s="83">
        <f t="shared" si="9"/>
        <v>0</v>
      </c>
      <c r="AC40" s="83">
        <f t="shared" si="9"/>
        <v>0</v>
      </c>
      <c r="AD40" s="83">
        <f t="shared" si="9"/>
        <v>0</v>
      </c>
      <c r="AE40" s="83">
        <f t="shared" si="9"/>
        <v>0</v>
      </c>
      <c r="AF40" s="114">
        <f>SUM(Z40:AE40)</f>
        <v>53</v>
      </c>
      <c r="AH40" s="94">
        <f>SUM(AH4:AH39)</f>
        <v>19</v>
      </c>
      <c r="AI40" s="83">
        <f t="shared" ref="AI40:AN40" si="10">SUM(AI4:AI39)</f>
        <v>0</v>
      </c>
      <c r="AJ40" s="83">
        <f t="shared" si="10"/>
        <v>17</v>
      </c>
      <c r="AK40" s="83">
        <f t="shared" si="10"/>
        <v>1</v>
      </c>
      <c r="AL40" s="83">
        <f t="shared" si="10"/>
        <v>0</v>
      </c>
      <c r="AM40" s="83">
        <f t="shared" si="10"/>
        <v>0</v>
      </c>
      <c r="AN40" s="83">
        <f t="shared" si="10"/>
        <v>0</v>
      </c>
      <c r="AO40" s="115">
        <f>SUM(AH40:AN40)</f>
        <v>37</v>
      </c>
    </row>
    <row r="41" spans="1:41" ht="24.75" customHeight="1" x14ac:dyDescent="0.25">
      <c r="H41" t="s">
        <v>46</v>
      </c>
      <c r="I41" s="38"/>
      <c r="J41" s="1">
        <f>SUM(J4:J23)*25</f>
        <v>2275</v>
      </c>
      <c r="K41" s="1">
        <f t="shared" ref="K41:W41" si="11">SUM(K4:K23)*25</f>
        <v>0</v>
      </c>
      <c r="L41" s="1">
        <f t="shared" si="11"/>
        <v>0</v>
      </c>
      <c r="M41" s="1">
        <f t="shared" si="11"/>
        <v>0</v>
      </c>
      <c r="N41" s="1">
        <f t="shared" si="11"/>
        <v>0</v>
      </c>
      <c r="O41" s="1">
        <f t="shared" si="11"/>
        <v>0</v>
      </c>
      <c r="P41" s="51">
        <f>SUM(P4:P23)*25</f>
        <v>0</v>
      </c>
      <c r="R41" s="27">
        <f t="shared" si="11"/>
        <v>375</v>
      </c>
      <c r="S41" s="1">
        <f t="shared" si="11"/>
        <v>150</v>
      </c>
      <c r="T41" s="1">
        <f t="shared" si="11"/>
        <v>175</v>
      </c>
      <c r="U41" s="1">
        <f t="shared" si="11"/>
        <v>0</v>
      </c>
      <c r="V41" s="1">
        <f t="shared" si="11"/>
        <v>0</v>
      </c>
      <c r="W41" s="1">
        <f t="shared" si="11"/>
        <v>0</v>
      </c>
      <c r="X41" s="36">
        <f>SUM(X4:X23)*25</f>
        <v>325</v>
      </c>
      <c r="Z41" s="2">
        <f t="shared" ref="Z41:AF41" si="12">SUM(Z4:Z23)*25</f>
        <v>0</v>
      </c>
      <c r="AA41" s="1">
        <f t="shared" si="12"/>
        <v>0</v>
      </c>
      <c r="AB41" s="1">
        <f t="shared" si="12"/>
        <v>0</v>
      </c>
      <c r="AC41" s="1">
        <f t="shared" si="12"/>
        <v>0</v>
      </c>
      <c r="AD41" s="1">
        <f t="shared" si="12"/>
        <v>0</v>
      </c>
      <c r="AE41" s="1">
        <f t="shared" si="12"/>
        <v>0</v>
      </c>
      <c r="AF41" s="36">
        <f t="shared" si="12"/>
        <v>0</v>
      </c>
      <c r="AH41" s="2">
        <f t="shared" ref="AH41:AN41" si="13">SUM(AH4:AH23)*25</f>
        <v>0</v>
      </c>
      <c r="AI41" s="1">
        <f t="shared" si="13"/>
        <v>0</v>
      </c>
      <c r="AJ41" s="1">
        <f t="shared" si="13"/>
        <v>0</v>
      </c>
      <c r="AK41" s="1">
        <f t="shared" si="13"/>
        <v>0</v>
      </c>
      <c r="AL41" s="1">
        <f t="shared" si="13"/>
        <v>0</v>
      </c>
      <c r="AM41" s="1">
        <f t="shared" si="13"/>
        <v>0</v>
      </c>
      <c r="AN41" s="1">
        <f t="shared" si="13"/>
        <v>0</v>
      </c>
      <c r="AO41" s="36">
        <f>SUM(AO4:AO23)*25</f>
        <v>0</v>
      </c>
    </row>
    <row r="42" spans="1:41" ht="24.75" customHeight="1" x14ac:dyDescent="0.25">
      <c r="H42" t="s">
        <v>47</v>
      </c>
      <c r="I42" s="38"/>
      <c r="J42" s="1">
        <f>SUM(J24:J39)*20</f>
        <v>400</v>
      </c>
      <c r="K42" s="1">
        <f>SUM(K24:K39)*20</f>
        <v>0</v>
      </c>
      <c r="L42" s="1">
        <f>SUM(L24:L39)*20</f>
        <v>0</v>
      </c>
      <c r="M42" s="1">
        <f t="shared" ref="M42:X42" si="14">SUM(M24:M39)*20</f>
        <v>0</v>
      </c>
      <c r="N42" s="1">
        <f t="shared" si="14"/>
        <v>0</v>
      </c>
      <c r="O42" s="1">
        <f t="shared" si="14"/>
        <v>0</v>
      </c>
      <c r="P42" s="51">
        <f t="shared" si="14"/>
        <v>0</v>
      </c>
      <c r="R42" s="27">
        <f t="shared" si="14"/>
        <v>180</v>
      </c>
      <c r="S42" s="1">
        <f t="shared" si="14"/>
        <v>40</v>
      </c>
      <c r="T42" s="1">
        <f t="shared" si="14"/>
        <v>40</v>
      </c>
      <c r="U42" s="1">
        <f t="shared" si="14"/>
        <v>0</v>
      </c>
      <c r="V42" s="1">
        <f t="shared" si="14"/>
        <v>0</v>
      </c>
      <c r="W42" s="1">
        <f t="shared" si="14"/>
        <v>0</v>
      </c>
      <c r="X42" s="36">
        <f t="shared" si="14"/>
        <v>80</v>
      </c>
      <c r="Z42" s="2">
        <f t="shared" ref="Z42:AF42" si="15">SUM(Z24:Z39)*20</f>
        <v>460</v>
      </c>
      <c r="AA42" s="1">
        <f t="shared" si="15"/>
        <v>600</v>
      </c>
      <c r="AB42" s="1">
        <f t="shared" si="15"/>
        <v>0</v>
      </c>
      <c r="AC42" s="1">
        <f t="shared" si="15"/>
        <v>0</v>
      </c>
      <c r="AD42" s="1">
        <f t="shared" si="15"/>
        <v>0</v>
      </c>
      <c r="AE42" s="1">
        <f t="shared" si="15"/>
        <v>0</v>
      </c>
      <c r="AF42" s="36">
        <f t="shared" si="15"/>
        <v>600</v>
      </c>
      <c r="AH42" s="2">
        <f t="shared" ref="AH42:AN42" si="16">SUM(AH24:AH39)*20</f>
        <v>380</v>
      </c>
      <c r="AI42" s="1">
        <f t="shared" si="16"/>
        <v>0</v>
      </c>
      <c r="AJ42" s="1">
        <f t="shared" si="16"/>
        <v>340</v>
      </c>
      <c r="AK42" s="1">
        <f t="shared" si="16"/>
        <v>20</v>
      </c>
      <c r="AL42" s="1">
        <f t="shared" si="16"/>
        <v>0</v>
      </c>
      <c r="AM42" s="1">
        <f t="shared" si="16"/>
        <v>0</v>
      </c>
      <c r="AN42" s="1">
        <f t="shared" si="16"/>
        <v>0</v>
      </c>
      <c r="AO42" s="36">
        <f>SUM(AO24:AO39)*20</f>
        <v>360</v>
      </c>
    </row>
    <row r="43" spans="1:41" ht="24.75" customHeight="1" thickBot="1" x14ac:dyDescent="0.3">
      <c r="I43" s="144" t="s">
        <v>35</v>
      </c>
      <c r="J43" s="145"/>
      <c r="K43" s="145">
        <f>SUM(J41:N42)</f>
        <v>2675</v>
      </c>
      <c r="L43" s="145"/>
      <c r="M43" s="145"/>
      <c r="N43" s="145"/>
      <c r="O43" s="145"/>
      <c r="P43" s="86"/>
      <c r="Q43" s="32"/>
      <c r="R43" s="144">
        <f>SUM(R41:W42)</f>
        <v>960</v>
      </c>
      <c r="S43" s="145"/>
      <c r="T43" s="145"/>
      <c r="U43" s="145"/>
      <c r="V43" s="145"/>
      <c r="W43" s="145"/>
      <c r="X43" s="85"/>
      <c r="Y43" s="32"/>
      <c r="Z43" s="144">
        <f>SUM(Z41:AE42)</f>
        <v>1060</v>
      </c>
      <c r="AA43" s="145"/>
      <c r="AB43" s="145"/>
      <c r="AC43" s="145"/>
      <c r="AD43" s="145"/>
      <c r="AE43" s="145"/>
      <c r="AF43" s="85"/>
      <c r="AG43" s="32"/>
      <c r="AH43" s="144">
        <f>SUM(AH41:AN42)</f>
        <v>740</v>
      </c>
      <c r="AI43" s="145"/>
      <c r="AJ43" s="145"/>
      <c r="AK43" s="145"/>
      <c r="AL43" s="145"/>
      <c r="AM43" s="145"/>
      <c r="AN43" s="145"/>
      <c r="AO43" s="96">
        <f>SUM(K43:AN43)</f>
        <v>5435</v>
      </c>
    </row>
    <row r="44" spans="1:41" ht="24.75" customHeight="1" x14ac:dyDescent="0.25">
      <c r="J44">
        <v>7.6</v>
      </c>
      <c r="S44">
        <v>5.4</v>
      </c>
      <c r="AA44">
        <v>4</v>
      </c>
      <c r="AH44">
        <v>10.4</v>
      </c>
      <c r="AI44" t="s">
        <v>53</v>
      </c>
      <c r="AJ44">
        <v>4.8</v>
      </c>
      <c r="AK44">
        <v>5.7</v>
      </c>
    </row>
  </sheetData>
  <autoFilter ref="J1:AO44" xr:uid="{F8CA6F40-0EAA-4AF9-9803-415709AD0E2F}"/>
  <mergeCells count="9">
    <mergeCell ref="J2:O2"/>
    <mergeCell ref="R2:W2"/>
    <mergeCell ref="Z2:AE2"/>
    <mergeCell ref="AH2:AN2"/>
    <mergeCell ref="I43:J43"/>
    <mergeCell ref="K43:O43"/>
    <mergeCell ref="R43:W43"/>
    <mergeCell ref="Z43:AE43"/>
    <mergeCell ref="AH43:AN43"/>
  </mergeCells>
  <conditionalFormatting sqref="J4:O39 R4:W39 AH4:AN39">
    <cfRule type="expression" dxfId="7" priority="2">
      <formula>MOD(ROW(),2)</formula>
    </cfRule>
  </conditionalFormatting>
  <conditionalFormatting sqref="Z4:AE39">
    <cfRule type="expression" dxfId="6" priority="1">
      <formula>MOD(ROW(),2)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555DC-EDFB-43B3-9303-F14315A52ACD}">
  <dimension ref="A1:AO44"/>
  <sheetViews>
    <sheetView showGridLines="0" topLeftCell="B1" zoomScale="60" zoomScaleNormal="60" workbookViewId="0">
      <selection activeCell="G47" sqref="G47"/>
    </sheetView>
  </sheetViews>
  <sheetFormatPr defaultRowHeight="15" x14ac:dyDescent="0.25"/>
  <cols>
    <col min="1" max="1" width="37.85546875" hidden="1" customWidth="1"/>
    <col min="2" max="2" width="8.42578125" bestFit="1" customWidth="1"/>
    <col min="3" max="3" width="8.140625" bestFit="1" customWidth="1"/>
    <col min="4" max="4" width="11.140625" bestFit="1" customWidth="1"/>
    <col min="5" max="5" width="8.5703125" bestFit="1" customWidth="1"/>
    <col min="6" max="6" width="13.7109375" bestFit="1" customWidth="1"/>
    <col min="7" max="8" width="9.42578125" bestFit="1" customWidth="1"/>
    <col min="9" max="9" width="6.85546875" style="32" customWidth="1"/>
    <col min="10" max="10" width="13" customWidth="1"/>
    <col min="11" max="23" width="9.42578125" customWidth="1"/>
    <col min="24" max="24" width="6.28515625" bestFit="1" customWidth="1"/>
    <col min="25" max="25" width="8.7109375" customWidth="1"/>
    <col min="26" max="26" width="11.140625" customWidth="1"/>
    <col min="27" max="31" width="11.42578125" customWidth="1"/>
    <col min="32" max="32" width="7.5703125" customWidth="1"/>
    <col min="33" max="33" width="7.7109375" customWidth="1"/>
    <col min="34" max="41" width="9.42578125" customWidth="1"/>
  </cols>
  <sheetData>
    <row r="1" spans="1:41" ht="15.75" thickBot="1" x14ac:dyDescent="0.3"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1" ht="15.75" thickBot="1" x14ac:dyDescent="0.3">
      <c r="B2" s="32"/>
      <c r="J2" s="135" t="s">
        <v>37</v>
      </c>
      <c r="K2" s="136"/>
      <c r="L2" s="136"/>
      <c r="M2" s="137"/>
      <c r="N2" s="137"/>
      <c r="O2" s="138"/>
      <c r="P2" s="32"/>
      <c r="Q2" s="32"/>
      <c r="R2" s="135" t="s">
        <v>38</v>
      </c>
      <c r="S2" s="136"/>
      <c r="T2" s="136"/>
      <c r="U2" s="136"/>
      <c r="V2" s="137"/>
      <c r="W2" s="138"/>
      <c r="X2" s="32"/>
      <c r="Y2" s="32"/>
      <c r="Z2" s="139" t="s">
        <v>43</v>
      </c>
      <c r="AA2" s="140"/>
      <c r="AB2" s="140"/>
      <c r="AC2" s="140"/>
      <c r="AD2" s="141"/>
      <c r="AE2" s="142"/>
      <c r="AF2" s="32"/>
      <c r="AG2" s="32"/>
      <c r="AH2" s="135" t="s">
        <v>39</v>
      </c>
      <c r="AI2" s="143"/>
      <c r="AJ2" s="136"/>
      <c r="AK2" s="136"/>
      <c r="AL2" s="137"/>
      <c r="AM2" s="137"/>
      <c r="AN2" s="138"/>
    </row>
    <row r="3" spans="1:41" ht="51" customHeight="1" x14ac:dyDescent="0.3">
      <c r="B3" s="32"/>
      <c r="J3" s="105" t="s">
        <v>36</v>
      </c>
      <c r="K3" s="102"/>
      <c r="L3" s="102"/>
      <c r="M3" s="103"/>
      <c r="N3" s="103"/>
      <c r="O3" s="104" t="s">
        <v>45</v>
      </c>
      <c r="P3" s="55"/>
      <c r="Q3" s="55"/>
      <c r="R3" s="101" t="s">
        <v>36</v>
      </c>
      <c r="S3" s="102">
        <v>12.2</v>
      </c>
      <c r="T3" s="102">
        <v>1.1000000000000001</v>
      </c>
      <c r="U3" s="102">
        <v>6.1</v>
      </c>
      <c r="V3" s="106">
        <v>18.2</v>
      </c>
      <c r="W3" s="107"/>
      <c r="X3" s="55"/>
      <c r="Y3" s="55"/>
      <c r="Z3" s="117" t="s">
        <v>44</v>
      </c>
      <c r="AA3" s="118">
        <v>58.3</v>
      </c>
      <c r="AB3" s="118"/>
      <c r="AC3" s="118"/>
      <c r="AD3" s="119"/>
      <c r="AE3" s="120"/>
      <c r="AF3" s="55"/>
      <c r="AG3" s="55"/>
      <c r="AH3" s="121" t="s">
        <v>36</v>
      </c>
      <c r="AI3" s="116"/>
      <c r="AJ3" s="103">
        <v>18.2</v>
      </c>
      <c r="AK3" s="102"/>
      <c r="AL3" s="103"/>
      <c r="AM3" s="103"/>
      <c r="AN3" s="104"/>
    </row>
    <row r="4" spans="1:41" ht="21.75" customHeight="1" x14ac:dyDescent="0.25">
      <c r="A4" s="7" t="s">
        <v>30</v>
      </c>
      <c r="B4" s="33">
        <v>8601</v>
      </c>
      <c r="C4" s="7">
        <v>7926</v>
      </c>
      <c r="D4" s="7">
        <v>7935</v>
      </c>
      <c r="E4" s="17">
        <f>D4-C4</f>
        <v>9</v>
      </c>
      <c r="F4" s="7">
        <v>116962</v>
      </c>
      <c r="G4" s="7">
        <v>117100</v>
      </c>
      <c r="H4" s="17">
        <f t="shared" ref="H4:H39" si="0">+G4-F4</f>
        <v>138</v>
      </c>
      <c r="I4" s="37">
        <f t="shared" ref="I4:I39" si="1">SUM(J4:O4,R4:W4,AH4:AN4,Z4:AE4)</f>
        <v>8</v>
      </c>
      <c r="J4" s="56">
        <v>8</v>
      </c>
      <c r="K4" s="57"/>
      <c r="L4" s="57"/>
      <c r="M4" s="58"/>
      <c r="N4" s="58"/>
      <c r="O4" s="59"/>
      <c r="P4" s="60">
        <f t="shared" ref="P4:P39" si="2">SUM(K4:N4)</f>
        <v>0</v>
      </c>
      <c r="Q4" s="87"/>
      <c r="R4" s="62"/>
      <c r="S4" s="68"/>
      <c r="T4" s="68"/>
      <c r="U4" s="68"/>
      <c r="V4" s="69"/>
      <c r="W4" s="76"/>
      <c r="X4" s="61">
        <f>SUM(S4:W4)</f>
        <v>0</v>
      </c>
      <c r="Y4" s="87"/>
      <c r="Z4" s="56"/>
      <c r="AA4" s="57"/>
      <c r="AB4" s="57"/>
      <c r="AC4" s="57"/>
      <c r="AD4" s="58"/>
      <c r="AE4" s="59"/>
      <c r="AF4" s="61">
        <f>SUM(AA4:AE4)</f>
        <v>0</v>
      </c>
      <c r="AG4" s="87"/>
      <c r="AH4" s="56"/>
      <c r="AI4" s="57"/>
      <c r="AJ4" s="58"/>
      <c r="AK4" s="57"/>
      <c r="AL4" s="58"/>
      <c r="AM4" s="58"/>
      <c r="AN4" s="59"/>
      <c r="AO4" s="40">
        <f>SUM(AI4:AN4)</f>
        <v>0</v>
      </c>
    </row>
    <row r="5" spans="1:41" ht="21.75" customHeight="1" x14ac:dyDescent="0.25">
      <c r="A5" s="7" t="s">
        <v>31</v>
      </c>
      <c r="B5" s="33">
        <v>8602</v>
      </c>
      <c r="C5" s="7">
        <v>5930</v>
      </c>
      <c r="D5" s="7">
        <v>5935</v>
      </c>
      <c r="E5" s="17">
        <f t="shared" ref="E5:E39" si="3">D5-C5</f>
        <v>5</v>
      </c>
      <c r="F5" s="7">
        <v>123956</v>
      </c>
      <c r="G5" s="7">
        <f>+F5+20</f>
        <v>123976</v>
      </c>
      <c r="H5" s="17">
        <f t="shared" si="0"/>
        <v>20</v>
      </c>
      <c r="I5" s="37">
        <f t="shared" si="1"/>
        <v>3</v>
      </c>
      <c r="J5" s="56">
        <v>3</v>
      </c>
      <c r="K5" s="57"/>
      <c r="L5" s="57"/>
      <c r="M5" s="58"/>
      <c r="N5" s="58"/>
      <c r="O5" s="59"/>
      <c r="P5" s="60">
        <f t="shared" si="2"/>
        <v>0</v>
      </c>
      <c r="Q5" s="87"/>
      <c r="R5" s="62"/>
      <c r="S5" s="68"/>
      <c r="T5" s="68"/>
      <c r="U5" s="68"/>
      <c r="V5" s="69"/>
      <c r="W5" s="76"/>
      <c r="X5" s="61">
        <f t="shared" ref="X5:X39" si="4">SUM(S5:W5)</f>
        <v>0</v>
      </c>
      <c r="Y5" s="87"/>
      <c r="Z5" s="56"/>
      <c r="AA5" s="57"/>
      <c r="AB5" s="57"/>
      <c r="AC5" s="57"/>
      <c r="AD5" s="58"/>
      <c r="AE5" s="59"/>
      <c r="AF5" s="61">
        <f t="shared" ref="AF5:AF39" si="5">SUM(AA5:AE5)</f>
        <v>0</v>
      </c>
      <c r="AG5" s="87"/>
      <c r="AH5" s="56"/>
      <c r="AI5" s="57"/>
      <c r="AJ5" s="58"/>
      <c r="AK5" s="57"/>
      <c r="AL5" s="58"/>
      <c r="AM5" s="58"/>
      <c r="AN5" s="59"/>
      <c r="AO5" s="40">
        <f t="shared" ref="AO5:AO39" si="6">SUM(AI5:AN5)</f>
        <v>0</v>
      </c>
    </row>
    <row r="6" spans="1:41" ht="21.75" customHeight="1" x14ac:dyDescent="0.25">
      <c r="A6" s="7" t="s">
        <v>32</v>
      </c>
      <c r="B6" s="33">
        <v>8603</v>
      </c>
      <c r="C6" s="7">
        <v>7261</v>
      </c>
      <c r="D6" s="7">
        <v>7271</v>
      </c>
      <c r="E6" s="17">
        <f t="shared" si="3"/>
        <v>10</v>
      </c>
      <c r="F6" s="7">
        <v>90805</v>
      </c>
      <c r="G6" s="7">
        <f>+F6+100</f>
        <v>90905</v>
      </c>
      <c r="H6" s="17">
        <f t="shared" si="0"/>
        <v>100</v>
      </c>
      <c r="I6" s="37">
        <f t="shared" si="1"/>
        <v>8</v>
      </c>
      <c r="J6" s="56">
        <v>8</v>
      </c>
      <c r="K6" s="57"/>
      <c r="L6" s="57"/>
      <c r="M6" s="58"/>
      <c r="N6" s="58"/>
      <c r="O6" s="59"/>
      <c r="P6" s="60">
        <f t="shared" si="2"/>
        <v>0</v>
      </c>
      <c r="Q6" s="87"/>
      <c r="R6" s="62"/>
      <c r="S6" s="68"/>
      <c r="T6" s="68"/>
      <c r="U6" s="68"/>
      <c r="V6" s="69"/>
      <c r="W6" s="76"/>
      <c r="X6" s="61">
        <f t="shared" si="4"/>
        <v>0</v>
      </c>
      <c r="Y6" s="87"/>
      <c r="Z6" s="56"/>
      <c r="AA6" s="57"/>
      <c r="AB6" s="57"/>
      <c r="AC6" s="57"/>
      <c r="AD6" s="58"/>
      <c r="AE6" s="59"/>
      <c r="AF6" s="61">
        <f t="shared" si="5"/>
        <v>0</v>
      </c>
      <c r="AG6" s="87"/>
      <c r="AH6" s="56"/>
      <c r="AI6" s="57"/>
      <c r="AJ6" s="58"/>
      <c r="AK6" s="57"/>
      <c r="AL6" s="58"/>
      <c r="AM6" s="58"/>
      <c r="AN6" s="59"/>
      <c r="AO6" s="40">
        <f t="shared" si="6"/>
        <v>0</v>
      </c>
    </row>
    <row r="7" spans="1:41" ht="21.75" customHeight="1" x14ac:dyDescent="0.25">
      <c r="A7" s="7" t="s">
        <v>0</v>
      </c>
      <c r="B7" s="33">
        <v>8604</v>
      </c>
      <c r="C7" s="7">
        <v>9104</v>
      </c>
      <c r="D7" s="7">
        <v>9113</v>
      </c>
      <c r="E7" s="17">
        <f t="shared" si="3"/>
        <v>9</v>
      </c>
      <c r="F7" s="7">
        <v>94509</v>
      </c>
      <c r="G7" s="7">
        <v>94627</v>
      </c>
      <c r="H7" s="17">
        <f t="shared" si="0"/>
        <v>118</v>
      </c>
      <c r="I7" s="37">
        <f t="shared" si="1"/>
        <v>9</v>
      </c>
      <c r="J7" s="56"/>
      <c r="K7" s="57"/>
      <c r="L7" s="57"/>
      <c r="M7" s="58"/>
      <c r="N7" s="58"/>
      <c r="O7" s="59"/>
      <c r="P7" s="60">
        <f t="shared" si="2"/>
        <v>0</v>
      </c>
      <c r="Q7" s="87"/>
      <c r="R7" s="62">
        <v>1</v>
      </c>
      <c r="S7" s="68">
        <v>1</v>
      </c>
      <c r="T7" s="68">
        <v>6</v>
      </c>
      <c r="U7" s="68">
        <v>1</v>
      </c>
      <c r="V7" s="69"/>
      <c r="W7" s="76"/>
      <c r="X7" s="61">
        <f t="shared" si="4"/>
        <v>8</v>
      </c>
      <c r="Y7" s="87"/>
      <c r="Z7" s="56"/>
      <c r="AA7" s="57"/>
      <c r="AB7" s="57"/>
      <c r="AC7" s="57"/>
      <c r="AD7" s="58"/>
      <c r="AE7" s="59"/>
      <c r="AF7" s="61">
        <f t="shared" si="5"/>
        <v>0</v>
      </c>
      <c r="AG7" s="87"/>
      <c r="AH7" s="56"/>
      <c r="AI7" s="57"/>
      <c r="AJ7" s="58"/>
      <c r="AK7" s="57"/>
      <c r="AL7" s="58"/>
      <c r="AM7" s="58"/>
      <c r="AN7" s="59"/>
      <c r="AO7" s="40">
        <f t="shared" si="6"/>
        <v>0</v>
      </c>
    </row>
    <row r="8" spans="1:41" ht="21.75" customHeight="1" x14ac:dyDescent="0.25">
      <c r="A8" s="7" t="s">
        <v>1</v>
      </c>
      <c r="B8" s="33">
        <v>8605</v>
      </c>
      <c r="C8" s="7"/>
      <c r="D8" s="7"/>
      <c r="E8" s="17">
        <f t="shared" si="3"/>
        <v>0</v>
      </c>
      <c r="F8" s="7"/>
      <c r="G8" s="7"/>
      <c r="H8" s="17">
        <f t="shared" si="0"/>
        <v>0</v>
      </c>
      <c r="I8" s="37">
        <f t="shared" si="1"/>
        <v>0</v>
      </c>
      <c r="J8" s="56"/>
      <c r="K8" s="57"/>
      <c r="L8" s="57"/>
      <c r="M8" s="58"/>
      <c r="N8" s="58"/>
      <c r="O8" s="59"/>
      <c r="P8" s="60">
        <f t="shared" si="2"/>
        <v>0</v>
      </c>
      <c r="Q8" s="87"/>
      <c r="R8" s="62"/>
      <c r="S8" s="68"/>
      <c r="T8" s="68"/>
      <c r="U8" s="68"/>
      <c r="V8" s="69"/>
      <c r="W8" s="76"/>
      <c r="X8" s="61">
        <f t="shared" si="4"/>
        <v>0</v>
      </c>
      <c r="Y8" s="87"/>
      <c r="Z8" s="56"/>
      <c r="AA8" s="57"/>
      <c r="AB8" s="57"/>
      <c r="AC8" s="57"/>
      <c r="AD8" s="58"/>
      <c r="AE8" s="59"/>
      <c r="AF8" s="61">
        <f t="shared" si="5"/>
        <v>0</v>
      </c>
      <c r="AG8" s="87"/>
      <c r="AH8" s="56"/>
      <c r="AI8" s="57"/>
      <c r="AJ8" s="58"/>
      <c r="AK8" s="57"/>
      <c r="AL8" s="58"/>
      <c r="AM8" s="58"/>
      <c r="AN8" s="59"/>
      <c r="AO8" s="40">
        <f t="shared" si="6"/>
        <v>0</v>
      </c>
    </row>
    <row r="9" spans="1:41" ht="21.75" customHeight="1" x14ac:dyDescent="0.25">
      <c r="A9" s="7" t="s">
        <v>2</v>
      </c>
      <c r="B9" s="33">
        <v>8606</v>
      </c>
      <c r="C9" s="7">
        <v>10214</v>
      </c>
      <c r="D9" s="7">
        <v>10224</v>
      </c>
      <c r="E9" s="17">
        <f t="shared" si="3"/>
        <v>10</v>
      </c>
      <c r="F9" s="7">
        <v>126767</v>
      </c>
      <c r="G9" s="7">
        <v>126950</v>
      </c>
      <c r="H9" s="17">
        <f t="shared" si="0"/>
        <v>183</v>
      </c>
      <c r="I9" s="37">
        <f t="shared" si="1"/>
        <v>11</v>
      </c>
      <c r="J9" s="56">
        <v>11</v>
      </c>
      <c r="K9" s="57"/>
      <c r="L9" s="57"/>
      <c r="M9" s="58"/>
      <c r="N9" s="58"/>
      <c r="O9" s="59"/>
      <c r="P9" s="60">
        <f t="shared" si="2"/>
        <v>0</v>
      </c>
      <c r="Q9" s="87"/>
      <c r="R9" s="62"/>
      <c r="S9" s="68"/>
      <c r="T9" s="68"/>
      <c r="U9" s="68"/>
      <c r="V9" s="69"/>
      <c r="W9" s="76"/>
      <c r="X9" s="61">
        <f t="shared" si="4"/>
        <v>0</v>
      </c>
      <c r="Y9" s="87"/>
      <c r="Z9" s="56"/>
      <c r="AA9" s="57"/>
      <c r="AB9" s="57"/>
      <c r="AC9" s="57"/>
      <c r="AD9" s="58"/>
      <c r="AE9" s="59"/>
      <c r="AF9" s="61">
        <f t="shared" si="5"/>
        <v>0</v>
      </c>
      <c r="AG9" s="87"/>
      <c r="AH9" s="56"/>
      <c r="AI9" s="57"/>
      <c r="AJ9" s="58"/>
      <c r="AK9" s="57"/>
      <c r="AL9" s="58"/>
      <c r="AM9" s="58"/>
      <c r="AN9" s="59"/>
      <c r="AO9" s="40">
        <f t="shared" si="6"/>
        <v>0</v>
      </c>
    </row>
    <row r="10" spans="1:41" ht="21.75" customHeight="1" x14ac:dyDescent="0.25">
      <c r="A10" s="7" t="s">
        <v>3</v>
      </c>
      <c r="B10" s="33">
        <v>8607</v>
      </c>
      <c r="C10" s="7">
        <v>8835</v>
      </c>
      <c r="D10" s="7">
        <v>8846</v>
      </c>
      <c r="E10" s="17">
        <f t="shared" si="3"/>
        <v>11</v>
      </c>
      <c r="F10" s="7">
        <v>85165</v>
      </c>
      <c r="G10" s="7">
        <f>+F10+10</f>
        <v>85175</v>
      </c>
      <c r="H10" s="17">
        <f>+G10-F10</f>
        <v>10</v>
      </c>
      <c r="I10" s="37">
        <f t="shared" si="1"/>
        <v>11</v>
      </c>
      <c r="J10" s="56">
        <v>11</v>
      </c>
      <c r="K10" s="57"/>
      <c r="L10" s="57"/>
      <c r="M10" s="58"/>
      <c r="N10" s="58"/>
      <c r="O10" s="59"/>
      <c r="P10" s="60">
        <f t="shared" si="2"/>
        <v>0</v>
      </c>
      <c r="Q10" s="87"/>
      <c r="R10" s="62"/>
      <c r="S10" s="68"/>
      <c r="T10" s="68"/>
      <c r="U10" s="68"/>
      <c r="V10" s="69"/>
      <c r="W10" s="76"/>
      <c r="X10" s="61">
        <f t="shared" si="4"/>
        <v>0</v>
      </c>
      <c r="Y10" s="87"/>
      <c r="Z10" s="56"/>
      <c r="AA10" s="57"/>
      <c r="AB10" s="57"/>
      <c r="AC10" s="57"/>
      <c r="AD10" s="58"/>
      <c r="AE10" s="59"/>
      <c r="AF10" s="61">
        <f t="shared" si="5"/>
        <v>0</v>
      </c>
      <c r="AG10" s="87"/>
      <c r="AH10" s="56"/>
      <c r="AI10" s="57"/>
      <c r="AJ10" s="58"/>
      <c r="AK10" s="57"/>
      <c r="AL10" s="58"/>
      <c r="AM10" s="58"/>
      <c r="AN10" s="59"/>
      <c r="AO10" s="40">
        <f t="shared" si="6"/>
        <v>0</v>
      </c>
    </row>
    <row r="11" spans="1:41" ht="21.75" customHeight="1" x14ac:dyDescent="0.25">
      <c r="A11" s="7" t="s">
        <v>4</v>
      </c>
      <c r="B11" s="33">
        <v>8608</v>
      </c>
      <c r="C11" s="7">
        <v>10191</v>
      </c>
      <c r="D11" s="7">
        <v>10199</v>
      </c>
      <c r="E11" s="17">
        <f t="shared" si="3"/>
        <v>8</v>
      </c>
      <c r="F11" s="7">
        <v>133529</v>
      </c>
      <c r="G11" s="7">
        <v>133696</v>
      </c>
      <c r="H11" s="17">
        <f t="shared" si="0"/>
        <v>167</v>
      </c>
      <c r="I11" s="37">
        <f t="shared" si="1"/>
        <v>8</v>
      </c>
      <c r="J11" s="62">
        <v>8</v>
      </c>
      <c r="K11" s="57"/>
      <c r="L11" s="57"/>
      <c r="M11" s="58"/>
      <c r="N11" s="58"/>
      <c r="O11" s="59"/>
      <c r="P11" s="60">
        <f t="shared" si="2"/>
        <v>0</v>
      </c>
      <c r="Q11" s="87"/>
      <c r="R11" s="62"/>
      <c r="S11" s="68"/>
      <c r="T11" s="68"/>
      <c r="U11" s="68"/>
      <c r="V11" s="69"/>
      <c r="W11" s="76"/>
      <c r="X11" s="61">
        <f t="shared" si="4"/>
        <v>0</v>
      </c>
      <c r="Y11" s="87"/>
      <c r="Z11" s="56"/>
      <c r="AA11" s="57"/>
      <c r="AB11" s="57"/>
      <c r="AC11" s="57"/>
      <c r="AD11" s="58"/>
      <c r="AE11" s="59"/>
      <c r="AF11" s="61">
        <f t="shared" si="5"/>
        <v>0</v>
      </c>
      <c r="AG11" s="87"/>
      <c r="AH11" s="56"/>
      <c r="AI11" s="57"/>
      <c r="AJ11" s="58"/>
      <c r="AK11" s="57"/>
      <c r="AL11" s="58"/>
      <c r="AM11" s="58"/>
      <c r="AN11" s="59"/>
      <c r="AO11" s="40">
        <f t="shared" si="6"/>
        <v>0</v>
      </c>
    </row>
    <row r="12" spans="1:41" ht="21.75" customHeight="1" x14ac:dyDescent="0.25">
      <c r="A12" s="7" t="s">
        <v>5</v>
      </c>
      <c r="B12" s="33">
        <v>8609</v>
      </c>
      <c r="C12" s="7">
        <v>10937</v>
      </c>
      <c r="D12" s="7">
        <v>10947</v>
      </c>
      <c r="E12" s="17">
        <f t="shared" si="3"/>
        <v>10</v>
      </c>
      <c r="F12" s="7">
        <v>143412</v>
      </c>
      <c r="G12" s="7">
        <v>143550</v>
      </c>
      <c r="H12" s="17">
        <f t="shared" si="0"/>
        <v>138</v>
      </c>
      <c r="I12" s="37">
        <f t="shared" si="1"/>
        <v>8</v>
      </c>
      <c r="J12" s="56">
        <v>8</v>
      </c>
      <c r="K12" s="57"/>
      <c r="L12" s="57"/>
      <c r="M12" s="58"/>
      <c r="N12" s="58"/>
      <c r="O12" s="59"/>
      <c r="P12" s="60">
        <f t="shared" si="2"/>
        <v>0</v>
      </c>
      <c r="Q12" s="87"/>
      <c r="R12" s="62"/>
      <c r="S12" s="68"/>
      <c r="T12" s="68"/>
      <c r="U12" s="68"/>
      <c r="V12" s="69"/>
      <c r="W12" s="76"/>
      <c r="X12" s="61">
        <f t="shared" si="4"/>
        <v>0</v>
      </c>
      <c r="Y12" s="87"/>
      <c r="Z12" s="56"/>
      <c r="AA12" s="57"/>
      <c r="AB12" s="57"/>
      <c r="AC12" s="57"/>
      <c r="AD12" s="58"/>
      <c r="AE12" s="59"/>
      <c r="AF12" s="61">
        <f t="shared" si="5"/>
        <v>0</v>
      </c>
      <c r="AG12" s="87"/>
      <c r="AH12" s="56"/>
      <c r="AI12" s="57"/>
      <c r="AJ12" s="58"/>
      <c r="AK12" s="57"/>
      <c r="AL12" s="58"/>
      <c r="AM12" s="58"/>
      <c r="AN12" s="59"/>
      <c r="AO12" s="40">
        <f t="shared" si="6"/>
        <v>0</v>
      </c>
    </row>
    <row r="13" spans="1:41" ht="21.75" customHeight="1" x14ac:dyDescent="0.25">
      <c r="A13" s="7" t="s">
        <v>6</v>
      </c>
      <c r="B13" s="33">
        <v>8610</v>
      </c>
      <c r="C13" s="7"/>
      <c r="D13" s="7"/>
      <c r="E13" s="17">
        <f t="shared" si="3"/>
        <v>0</v>
      </c>
      <c r="F13" s="7"/>
      <c r="G13" s="7"/>
      <c r="H13" s="17">
        <f t="shared" si="0"/>
        <v>0</v>
      </c>
      <c r="I13" s="37">
        <f t="shared" si="1"/>
        <v>0</v>
      </c>
      <c r="J13" s="56"/>
      <c r="K13" s="57"/>
      <c r="L13" s="57"/>
      <c r="M13" s="58"/>
      <c r="N13" s="58"/>
      <c r="O13" s="59"/>
      <c r="P13" s="60">
        <f t="shared" si="2"/>
        <v>0</v>
      </c>
      <c r="Q13" s="87"/>
      <c r="R13" s="62"/>
      <c r="S13" s="68"/>
      <c r="T13" s="68"/>
      <c r="U13" s="68"/>
      <c r="V13" s="69"/>
      <c r="W13" s="76"/>
      <c r="X13" s="61">
        <f t="shared" si="4"/>
        <v>0</v>
      </c>
      <c r="Y13" s="87"/>
      <c r="Z13" s="56"/>
      <c r="AA13" s="57"/>
      <c r="AB13" s="57"/>
      <c r="AC13" s="57"/>
      <c r="AD13" s="58"/>
      <c r="AE13" s="59"/>
      <c r="AF13" s="61">
        <f t="shared" si="5"/>
        <v>0</v>
      </c>
      <c r="AG13" s="87"/>
      <c r="AH13" s="56"/>
      <c r="AI13" s="57"/>
      <c r="AJ13" s="58"/>
      <c r="AK13" s="57"/>
      <c r="AL13" s="58"/>
      <c r="AM13" s="58"/>
      <c r="AN13" s="59"/>
      <c r="AO13" s="40">
        <f t="shared" si="6"/>
        <v>0</v>
      </c>
    </row>
    <row r="14" spans="1:41" ht="21.75" customHeight="1" x14ac:dyDescent="0.25">
      <c r="A14" s="7" t="s">
        <v>7</v>
      </c>
      <c r="B14" s="33">
        <v>8611</v>
      </c>
      <c r="C14" s="7"/>
      <c r="D14" s="7"/>
      <c r="E14" s="17">
        <f t="shared" si="3"/>
        <v>0</v>
      </c>
      <c r="F14" s="7"/>
      <c r="G14" s="7"/>
      <c r="H14" s="17">
        <f t="shared" si="0"/>
        <v>0</v>
      </c>
      <c r="I14" s="37">
        <f t="shared" si="1"/>
        <v>0</v>
      </c>
      <c r="J14" s="56"/>
      <c r="K14" s="57"/>
      <c r="L14" s="57"/>
      <c r="M14" s="58"/>
      <c r="N14" s="58"/>
      <c r="O14" s="59"/>
      <c r="P14" s="60">
        <f t="shared" si="2"/>
        <v>0</v>
      </c>
      <c r="Q14" s="87"/>
      <c r="R14" s="62"/>
      <c r="S14" s="68"/>
      <c r="T14" s="68"/>
      <c r="U14" s="68"/>
      <c r="V14" s="69"/>
      <c r="W14" s="76"/>
      <c r="X14" s="61">
        <f t="shared" si="4"/>
        <v>0</v>
      </c>
      <c r="Y14" s="87"/>
      <c r="Z14" s="56"/>
      <c r="AA14" s="57"/>
      <c r="AB14" s="57"/>
      <c r="AC14" s="57"/>
      <c r="AD14" s="58"/>
      <c r="AE14" s="59"/>
      <c r="AF14" s="61">
        <f t="shared" si="5"/>
        <v>0</v>
      </c>
      <c r="AG14" s="87"/>
      <c r="AH14" s="56"/>
      <c r="AI14" s="57"/>
      <c r="AJ14" s="58"/>
      <c r="AK14" s="57"/>
      <c r="AL14" s="58"/>
      <c r="AM14" s="58"/>
      <c r="AN14" s="59"/>
      <c r="AO14" s="40">
        <f t="shared" si="6"/>
        <v>0</v>
      </c>
    </row>
    <row r="15" spans="1:41" ht="21.75" customHeight="1" x14ac:dyDescent="0.25">
      <c r="A15" s="7" t="s">
        <v>8</v>
      </c>
      <c r="B15" s="33">
        <v>8612</v>
      </c>
      <c r="C15" s="7"/>
      <c r="D15" s="7"/>
      <c r="E15" s="17">
        <f t="shared" si="3"/>
        <v>0</v>
      </c>
      <c r="F15" s="7"/>
      <c r="G15" s="7"/>
      <c r="H15" s="17">
        <f t="shared" si="0"/>
        <v>0</v>
      </c>
      <c r="I15" s="37">
        <f t="shared" si="1"/>
        <v>0</v>
      </c>
      <c r="J15" s="56"/>
      <c r="K15" s="57"/>
      <c r="L15" s="57"/>
      <c r="M15" s="58"/>
      <c r="N15" s="58"/>
      <c r="O15" s="59"/>
      <c r="P15" s="60">
        <f t="shared" si="2"/>
        <v>0</v>
      </c>
      <c r="Q15" s="87"/>
      <c r="R15" s="62"/>
      <c r="S15" s="68"/>
      <c r="T15" s="68"/>
      <c r="U15" s="68"/>
      <c r="V15" s="69"/>
      <c r="W15" s="76"/>
      <c r="X15" s="61">
        <f t="shared" si="4"/>
        <v>0</v>
      </c>
      <c r="Y15" s="87"/>
      <c r="Z15" s="56"/>
      <c r="AA15" s="57"/>
      <c r="AB15" s="57"/>
      <c r="AC15" s="57"/>
      <c r="AD15" s="58"/>
      <c r="AE15" s="59"/>
      <c r="AF15" s="61">
        <f>SUM(AA15:AE15)</f>
        <v>0</v>
      </c>
      <c r="AG15" s="87"/>
      <c r="AH15" s="56"/>
      <c r="AI15" s="57"/>
      <c r="AJ15" s="58"/>
      <c r="AK15" s="57"/>
      <c r="AL15" s="58"/>
      <c r="AM15" s="58"/>
      <c r="AN15" s="59"/>
      <c r="AO15" s="40">
        <f t="shared" si="6"/>
        <v>0</v>
      </c>
    </row>
    <row r="16" spans="1:41" ht="21.75" customHeight="1" x14ac:dyDescent="0.25">
      <c r="A16" s="7" t="s">
        <v>9</v>
      </c>
      <c r="B16" s="33">
        <v>8613</v>
      </c>
      <c r="C16" s="7"/>
      <c r="D16" s="7"/>
      <c r="E16" s="17">
        <f t="shared" si="3"/>
        <v>0</v>
      </c>
      <c r="F16" s="7"/>
      <c r="G16" s="7"/>
      <c r="H16" s="17">
        <f t="shared" si="0"/>
        <v>0</v>
      </c>
      <c r="I16" s="37">
        <f t="shared" si="1"/>
        <v>0</v>
      </c>
      <c r="J16" s="56"/>
      <c r="K16" s="57"/>
      <c r="L16" s="57"/>
      <c r="M16" s="58"/>
      <c r="N16" s="58"/>
      <c r="O16" s="59"/>
      <c r="P16" s="60">
        <f t="shared" si="2"/>
        <v>0</v>
      </c>
      <c r="Q16" s="87"/>
      <c r="R16" s="62"/>
      <c r="S16" s="68"/>
      <c r="T16" s="68"/>
      <c r="U16" s="68"/>
      <c r="V16" s="69"/>
      <c r="W16" s="76"/>
      <c r="X16" s="61">
        <f t="shared" si="4"/>
        <v>0</v>
      </c>
      <c r="Y16" s="87"/>
      <c r="Z16" s="56"/>
      <c r="AA16" s="57"/>
      <c r="AB16" s="57"/>
      <c r="AC16" s="57"/>
      <c r="AD16" s="58"/>
      <c r="AE16" s="59"/>
      <c r="AF16" s="61">
        <f t="shared" si="5"/>
        <v>0</v>
      </c>
      <c r="AG16" s="87"/>
      <c r="AH16" s="56"/>
      <c r="AI16" s="57"/>
      <c r="AJ16" s="58"/>
      <c r="AK16" s="57"/>
      <c r="AL16" s="58"/>
      <c r="AM16" s="58"/>
      <c r="AN16" s="59"/>
      <c r="AO16" s="40">
        <f t="shared" si="6"/>
        <v>0</v>
      </c>
    </row>
    <row r="17" spans="1:41" ht="21.75" customHeight="1" x14ac:dyDescent="0.25">
      <c r="A17" s="7" t="s">
        <v>10</v>
      </c>
      <c r="B17" s="33">
        <v>8614</v>
      </c>
      <c r="C17" s="7">
        <v>8596</v>
      </c>
      <c r="D17" s="7">
        <v>8603</v>
      </c>
      <c r="E17" s="17">
        <f t="shared" si="3"/>
        <v>7</v>
      </c>
      <c r="F17" s="7">
        <v>118658</v>
      </c>
      <c r="G17" s="7">
        <v>118767</v>
      </c>
      <c r="H17" s="17">
        <f t="shared" si="0"/>
        <v>109</v>
      </c>
      <c r="I17" s="37">
        <f t="shared" si="1"/>
        <v>7</v>
      </c>
      <c r="J17" s="56">
        <v>4</v>
      </c>
      <c r="K17" s="57"/>
      <c r="L17" s="57"/>
      <c r="M17" s="58"/>
      <c r="N17" s="58"/>
      <c r="O17" s="59"/>
      <c r="P17" s="60">
        <f t="shared" si="2"/>
        <v>0</v>
      </c>
      <c r="Q17" s="87"/>
      <c r="R17" s="62">
        <v>1</v>
      </c>
      <c r="S17" s="68"/>
      <c r="T17" s="68">
        <v>1</v>
      </c>
      <c r="U17" s="68"/>
      <c r="V17" s="69">
        <v>1</v>
      </c>
      <c r="W17" s="76"/>
      <c r="X17" s="61">
        <f t="shared" si="4"/>
        <v>2</v>
      </c>
      <c r="Y17" s="87"/>
      <c r="Z17" s="56"/>
      <c r="AA17" s="57"/>
      <c r="AB17" s="57"/>
      <c r="AC17" s="57"/>
      <c r="AD17" s="58"/>
      <c r="AE17" s="59"/>
      <c r="AF17" s="61">
        <f t="shared" si="5"/>
        <v>0</v>
      </c>
      <c r="AG17" s="87"/>
      <c r="AH17" s="56"/>
      <c r="AI17" s="57"/>
      <c r="AJ17" s="57"/>
      <c r="AK17" s="57"/>
      <c r="AL17" s="58"/>
      <c r="AM17" s="58"/>
      <c r="AN17" s="59"/>
      <c r="AO17" s="40">
        <f t="shared" si="6"/>
        <v>0</v>
      </c>
    </row>
    <row r="18" spans="1:41" ht="21.75" customHeight="1" x14ac:dyDescent="0.25">
      <c r="A18" s="7" t="s">
        <v>11</v>
      </c>
      <c r="B18" s="33">
        <v>8615</v>
      </c>
      <c r="C18" s="7"/>
      <c r="D18" s="7"/>
      <c r="E18" s="17">
        <f t="shared" si="3"/>
        <v>0</v>
      </c>
      <c r="F18" s="7"/>
      <c r="G18" s="7"/>
      <c r="H18" s="17">
        <f t="shared" si="0"/>
        <v>0</v>
      </c>
      <c r="I18" s="37">
        <f t="shared" si="1"/>
        <v>0</v>
      </c>
      <c r="J18" s="56"/>
      <c r="K18" s="57"/>
      <c r="L18" s="57"/>
      <c r="M18" s="58"/>
      <c r="N18" s="58"/>
      <c r="O18" s="59"/>
      <c r="P18" s="60">
        <f t="shared" si="2"/>
        <v>0</v>
      </c>
      <c r="Q18" s="87"/>
      <c r="R18" s="62"/>
      <c r="S18" s="68"/>
      <c r="T18" s="68"/>
      <c r="U18" s="68"/>
      <c r="V18" s="69"/>
      <c r="W18" s="76"/>
      <c r="X18" s="61">
        <f t="shared" si="4"/>
        <v>0</v>
      </c>
      <c r="Y18" s="87"/>
      <c r="Z18" s="56"/>
      <c r="AA18" s="57"/>
      <c r="AB18" s="57"/>
      <c r="AC18" s="57"/>
      <c r="AD18" s="58"/>
      <c r="AE18" s="59"/>
      <c r="AF18" s="61">
        <f t="shared" si="5"/>
        <v>0</v>
      </c>
      <c r="AG18" s="87"/>
      <c r="AH18" s="56"/>
      <c r="AI18" s="57"/>
      <c r="AJ18" s="57"/>
      <c r="AK18" s="57"/>
      <c r="AL18" s="58"/>
      <c r="AM18" s="58"/>
      <c r="AN18" s="59"/>
      <c r="AO18" s="40">
        <f t="shared" si="6"/>
        <v>0</v>
      </c>
    </row>
    <row r="19" spans="1:41" ht="21.75" customHeight="1" x14ac:dyDescent="0.25">
      <c r="A19" s="7" t="s">
        <v>12</v>
      </c>
      <c r="B19" s="33">
        <v>8616</v>
      </c>
      <c r="C19" s="7">
        <v>10017</v>
      </c>
      <c r="D19" s="7">
        <v>10027</v>
      </c>
      <c r="E19" s="17">
        <f t="shared" si="3"/>
        <v>10</v>
      </c>
      <c r="F19" s="7">
        <v>82498</v>
      </c>
      <c r="G19" s="7">
        <v>82569</v>
      </c>
      <c r="H19" s="17">
        <f t="shared" si="0"/>
        <v>71</v>
      </c>
      <c r="I19" s="37">
        <f t="shared" si="1"/>
        <v>8</v>
      </c>
      <c r="J19" s="56">
        <v>8</v>
      </c>
      <c r="K19" s="57"/>
      <c r="L19" s="57"/>
      <c r="M19" s="58"/>
      <c r="N19" s="58"/>
      <c r="O19" s="59"/>
      <c r="P19" s="60">
        <f t="shared" si="2"/>
        <v>0</v>
      </c>
      <c r="Q19" s="87"/>
      <c r="R19" s="62"/>
      <c r="S19" s="68"/>
      <c r="T19" s="68"/>
      <c r="U19" s="68"/>
      <c r="V19" s="69"/>
      <c r="W19" s="76"/>
      <c r="X19" s="61">
        <f t="shared" si="4"/>
        <v>0</v>
      </c>
      <c r="Y19" s="87"/>
      <c r="Z19" s="56"/>
      <c r="AA19" s="57"/>
      <c r="AB19" s="57"/>
      <c r="AC19" s="57"/>
      <c r="AD19" s="58"/>
      <c r="AE19" s="59"/>
      <c r="AF19" s="61">
        <f t="shared" si="5"/>
        <v>0</v>
      </c>
      <c r="AG19" s="87"/>
      <c r="AH19" s="56"/>
      <c r="AI19" s="57"/>
      <c r="AJ19" s="57"/>
      <c r="AK19" s="57"/>
      <c r="AL19" s="58"/>
      <c r="AM19" s="58"/>
      <c r="AN19" s="59"/>
      <c r="AO19" s="40">
        <f t="shared" si="6"/>
        <v>0</v>
      </c>
    </row>
    <row r="20" spans="1:41" ht="21.75" customHeight="1" x14ac:dyDescent="0.25">
      <c r="A20" s="7" t="s">
        <v>13</v>
      </c>
      <c r="B20" s="33">
        <v>8617</v>
      </c>
      <c r="C20" s="7">
        <v>9141</v>
      </c>
      <c r="D20" s="7">
        <v>9151</v>
      </c>
      <c r="E20" s="17">
        <f t="shared" si="3"/>
        <v>10</v>
      </c>
      <c r="F20" s="7">
        <v>111469</v>
      </c>
      <c r="G20" s="7">
        <v>111626</v>
      </c>
      <c r="H20" s="17">
        <f t="shared" si="0"/>
        <v>157</v>
      </c>
      <c r="I20" s="37">
        <f t="shared" si="1"/>
        <v>11</v>
      </c>
      <c r="J20" s="56"/>
      <c r="K20" s="57"/>
      <c r="L20" s="57"/>
      <c r="M20" s="58"/>
      <c r="N20" s="58"/>
      <c r="O20" s="59"/>
      <c r="P20" s="60">
        <f t="shared" si="2"/>
        <v>0</v>
      </c>
      <c r="Q20" s="87"/>
      <c r="R20" s="62">
        <v>1</v>
      </c>
      <c r="S20" s="68">
        <v>1</v>
      </c>
      <c r="T20" s="68">
        <v>5</v>
      </c>
      <c r="U20" s="68">
        <v>3</v>
      </c>
      <c r="V20" s="69">
        <v>1</v>
      </c>
      <c r="W20" s="76"/>
      <c r="X20" s="61">
        <f t="shared" si="4"/>
        <v>10</v>
      </c>
      <c r="Y20" s="87"/>
      <c r="Z20" s="56"/>
      <c r="AA20" s="57"/>
      <c r="AB20" s="57"/>
      <c r="AC20" s="57"/>
      <c r="AD20" s="58"/>
      <c r="AE20" s="59"/>
      <c r="AF20" s="61">
        <f t="shared" si="5"/>
        <v>0</v>
      </c>
      <c r="AG20" s="87"/>
      <c r="AH20" s="56"/>
      <c r="AI20" s="57"/>
      <c r="AJ20" s="57"/>
      <c r="AK20" s="57"/>
      <c r="AL20" s="58"/>
      <c r="AM20" s="58"/>
      <c r="AN20" s="59"/>
      <c r="AO20" s="40">
        <f t="shared" si="6"/>
        <v>0</v>
      </c>
    </row>
    <row r="21" spans="1:41" ht="21.75" customHeight="1" x14ac:dyDescent="0.25">
      <c r="A21" s="7" t="s">
        <v>14</v>
      </c>
      <c r="B21" s="33">
        <v>8618</v>
      </c>
      <c r="C21" s="7"/>
      <c r="D21" s="7"/>
      <c r="E21" s="17">
        <f t="shared" si="3"/>
        <v>0</v>
      </c>
      <c r="F21" s="7"/>
      <c r="G21" s="7"/>
      <c r="H21" s="17">
        <f t="shared" si="0"/>
        <v>0</v>
      </c>
      <c r="I21" s="37">
        <f t="shared" si="1"/>
        <v>0</v>
      </c>
      <c r="J21" s="56"/>
      <c r="K21" s="57"/>
      <c r="L21" s="57"/>
      <c r="M21" s="58"/>
      <c r="N21" s="58"/>
      <c r="O21" s="59"/>
      <c r="P21" s="60">
        <f t="shared" si="2"/>
        <v>0</v>
      </c>
      <c r="Q21" s="87"/>
      <c r="R21" s="62"/>
      <c r="S21" s="68"/>
      <c r="T21" s="68"/>
      <c r="U21" s="68"/>
      <c r="V21" s="69"/>
      <c r="W21" s="76"/>
      <c r="X21" s="61">
        <f t="shared" si="4"/>
        <v>0</v>
      </c>
      <c r="Y21" s="87"/>
      <c r="Z21" s="56"/>
      <c r="AA21" s="57"/>
      <c r="AB21" s="57"/>
      <c r="AC21" s="57"/>
      <c r="AD21" s="58"/>
      <c r="AE21" s="59"/>
      <c r="AF21" s="61">
        <f t="shared" si="5"/>
        <v>0</v>
      </c>
      <c r="AG21" s="87"/>
      <c r="AH21" s="56"/>
      <c r="AI21" s="57"/>
      <c r="AJ21" s="57"/>
      <c r="AK21" s="57"/>
      <c r="AL21" s="58"/>
      <c r="AM21" s="58"/>
      <c r="AN21" s="59"/>
      <c r="AO21" s="40">
        <f t="shared" si="6"/>
        <v>0</v>
      </c>
    </row>
    <row r="22" spans="1:41" ht="21.75" customHeight="1" x14ac:dyDescent="0.25">
      <c r="A22" s="7" t="s">
        <v>15</v>
      </c>
      <c r="B22" s="33">
        <v>8619</v>
      </c>
      <c r="C22" s="7">
        <v>10433</v>
      </c>
      <c r="D22" s="7">
        <v>10445</v>
      </c>
      <c r="E22" s="17">
        <f t="shared" si="3"/>
        <v>12</v>
      </c>
      <c r="F22" s="7">
        <v>113599</v>
      </c>
      <c r="G22" s="7">
        <f>+F22+150</f>
        <v>113749</v>
      </c>
      <c r="H22" s="17">
        <f t="shared" si="0"/>
        <v>150</v>
      </c>
      <c r="I22" s="37">
        <f t="shared" si="1"/>
        <v>14</v>
      </c>
      <c r="J22" s="56">
        <v>1</v>
      </c>
      <c r="K22" s="57"/>
      <c r="L22" s="57"/>
      <c r="M22" s="58"/>
      <c r="N22" s="58"/>
      <c r="O22" s="59"/>
      <c r="P22" s="60">
        <f t="shared" si="2"/>
        <v>0</v>
      </c>
      <c r="Q22" s="87"/>
      <c r="R22" s="62">
        <v>1</v>
      </c>
      <c r="S22" s="68">
        <v>2</v>
      </c>
      <c r="T22" s="68">
        <v>6</v>
      </c>
      <c r="U22" s="68">
        <v>4</v>
      </c>
      <c r="V22" s="69"/>
      <c r="W22" s="76"/>
      <c r="X22" s="61">
        <f t="shared" si="4"/>
        <v>12</v>
      </c>
      <c r="Y22" s="87"/>
      <c r="Z22" s="56"/>
      <c r="AA22" s="57"/>
      <c r="AB22" s="57"/>
      <c r="AC22" s="57"/>
      <c r="AD22" s="58"/>
      <c r="AE22" s="59"/>
      <c r="AF22" s="61">
        <f t="shared" si="5"/>
        <v>0</v>
      </c>
      <c r="AG22" s="87"/>
      <c r="AH22" s="56"/>
      <c r="AI22" s="57"/>
      <c r="AJ22" s="57"/>
      <c r="AK22" s="57"/>
      <c r="AL22" s="58"/>
      <c r="AM22" s="58"/>
      <c r="AN22" s="59"/>
      <c r="AO22" s="40">
        <f t="shared" si="6"/>
        <v>0</v>
      </c>
    </row>
    <row r="23" spans="1:41" ht="21.75" customHeight="1" x14ac:dyDescent="0.25">
      <c r="A23" s="7" t="s">
        <v>16</v>
      </c>
      <c r="B23" s="33">
        <v>8620</v>
      </c>
      <c r="C23" s="7">
        <v>10318</v>
      </c>
      <c r="D23" s="7">
        <f>+C23+10</f>
        <v>10328</v>
      </c>
      <c r="E23" s="17">
        <f t="shared" si="3"/>
        <v>10</v>
      </c>
      <c r="F23" s="7">
        <v>139674</v>
      </c>
      <c r="G23" s="7">
        <v>139768</v>
      </c>
      <c r="H23" s="17">
        <f t="shared" si="0"/>
        <v>94</v>
      </c>
      <c r="I23" s="37">
        <f t="shared" si="1"/>
        <v>11</v>
      </c>
      <c r="J23" s="56">
        <v>11</v>
      </c>
      <c r="K23" s="57"/>
      <c r="L23" s="57"/>
      <c r="M23" s="58"/>
      <c r="N23" s="58"/>
      <c r="O23" s="59"/>
      <c r="P23" s="60">
        <f t="shared" si="2"/>
        <v>0</v>
      </c>
      <c r="Q23" s="87"/>
      <c r="R23" s="62"/>
      <c r="S23" s="68"/>
      <c r="T23" s="68"/>
      <c r="U23" s="68"/>
      <c r="V23" s="69"/>
      <c r="W23" s="76"/>
      <c r="X23" s="61">
        <f t="shared" si="4"/>
        <v>0</v>
      </c>
      <c r="Y23" s="87"/>
      <c r="Z23" s="56"/>
      <c r="AA23" s="57"/>
      <c r="AB23" s="57"/>
      <c r="AC23" s="57"/>
      <c r="AD23" s="58"/>
      <c r="AE23" s="59"/>
      <c r="AF23" s="61">
        <f t="shared" si="5"/>
        <v>0</v>
      </c>
      <c r="AG23" s="87"/>
      <c r="AH23" s="56"/>
      <c r="AI23" s="57"/>
      <c r="AJ23" s="57"/>
      <c r="AK23" s="57"/>
      <c r="AL23" s="58"/>
      <c r="AM23" s="58"/>
      <c r="AN23" s="59"/>
      <c r="AO23" s="40">
        <f t="shared" si="6"/>
        <v>0</v>
      </c>
    </row>
    <row r="24" spans="1:41" ht="21.75" customHeight="1" x14ac:dyDescent="0.25">
      <c r="A24" s="7" t="s">
        <v>17</v>
      </c>
      <c r="B24" s="33">
        <v>8621</v>
      </c>
      <c r="C24" s="7"/>
      <c r="D24" s="7"/>
      <c r="E24" s="17">
        <f t="shared" si="3"/>
        <v>0</v>
      </c>
      <c r="F24" s="7"/>
      <c r="G24" s="7"/>
      <c r="H24" s="17">
        <f t="shared" si="0"/>
        <v>0</v>
      </c>
      <c r="I24" s="37">
        <f t="shared" si="1"/>
        <v>0</v>
      </c>
      <c r="J24" s="56"/>
      <c r="K24" s="57"/>
      <c r="L24" s="57"/>
      <c r="M24" s="58"/>
      <c r="N24" s="58"/>
      <c r="O24" s="59"/>
      <c r="P24" s="60">
        <f t="shared" si="2"/>
        <v>0</v>
      </c>
      <c r="Q24" s="87"/>
      <c r="R24" s="62"/>
      <c r="S24" s="68"/>
      <c r="T24" s="68"/>
      <c r="U24" s="68"/>
      <c r="V24" s="69"/>
      <c r="W24" s="76"/>
      <c r="X24" s="61">
        <f t="shared" si="4"/>
        <v>0</v>
      </c>
      <c r="Y24" s="87"/>
      <c r="Z24" s="56"/>
      <c r="AA24" s="57"/>
      <c r="AB24" s="57"/>
      <c r="AC24" s="57"/>
      <c r="AD24" s="58"/>
      <c r="AE24" s="59"/>
      <c r="AF24" s="61">
        <f t="shared" si="5"/>
        <v>0</v>
      </c>
      <c r="AG24" s="87"/>
      <c r="AH24" s="56"/>
      <c r="AI24" s="57"/>
      <c r="AJ24" s="57"/>
      <c r="AK24" s="57"/>
      <c r="AL24" s="58"/>
      <c r="AM24" s="58"/>
      <c r="AN24" s="59"/>
      <c r="AO24" s="40">
        <f t="shared" si="6"/>
        <v>0</v>
      </c>
    </row>
    <row r="25" spans="1:41" ht="21.75" customHeight="1" x14ac:dyDescent="0.25">
      <c r="A25" s="7" t="s">
        <v>18</v>
      </c>
      <c r="B25" s="33">
        <v>8622</v>
      </c>
      <c r="C25" s="7">
        <v>13726</v>
      </c>
      <c r="D25" s="7">
        <v>13738</v>
      </c>
      <c r="E25" s="17">
        <f t="shared" si="3"/>
        <v>12</v>
      </c>
      <c r="F25" s="7">
        <v>177379</v>
      </c>
      <c r="G25" s="7">
        <v>177518</v>
      </c>
      <c r="H25" s="17">
        <f t="shared" si="0"/>
        <v>139</v>
      </c>
      <c r="I25" s="37">
        <f t="shared" si="1"/>
        <v>10</v>
      </c>
      <c r="J25" s="56">
        <v>10</v>
      </c>
      <c r="K25" s="57"/>
      <c r="L25" s="57"/>
      <c r="M25" s="58"/>
      <c r="N25" s="58"/>
      <c r="O25" s="63"/>
      <c r="P25" s="60">
        <f t="shared" si="2"/>
        <v>0</v>
      </c>
      <c r="Q25" s="87"/>
      <c r="R25" s="62"/>
      <c r="S25" s="68"/>
      <c r="T25" s="68"/>
      <c r="U25" s="68"/>
      <c r="V25" s="69"/>
      <c r="W25" s="76"/>
      <c r="X25" s="61">
        <f t="shared" si="4"/>
        <v>0</v>
      </c>
      <c r="Y25" s="87"/>
      <c r="Z25" s="56"/>
      <c r="AA25" s="57"/>
      <c r="AB25" s="57"/>
      <c r="AC25" s="57"/>
      <c r="AD25" s="58"/>
      <c r="AE25" s="59"/>
      <c r="AF25" s="61">
        <f t="shared" si="5"/>
        <v>0</v>
      </c>
      <c r="AG25" s="87"/>
      <c r="AH25" s="56"/>
      <c r="AI25" s="57"/>
      <c r="AJ25" s="57"/>
      <c r="AK25" s="57"/>
      <c r="AL25" s="58"/>
      <c r="AM25" s="58"/>
      <c r="AN25" s="59"/>
      <c r="AO25" s="40">
        <f t="shared" si="6"/>
        <v>0</v>
      </c>
    </row>
    <row r="26" spans="1:41" ht="21.75" customHeight="1" x14ac:dyDescent="0.25">
      <c r="A26" s="7" t="s">
        <v>19</v>
      </c>
      <c r="B26" s="33">
        <v>8623</v>
      </c>
      <c r="C26" s="7">
        <v>13723</v>
      </c>
      <c r="D26" s="7">
        <v>13734</v>
      </c>
      <c r="E26" s="17">
        <f t="shared" si="3"/>
        <v>11</v>
      </c>
      <c r="F26" s="7">
        <v>180704</v>
      </c>
      <c r="G26" s="7">
        <f>+F26+150</f>
        <v>180854</v>
      </c>
      <c r="H26" s="17">
        <f t="shared" si="0"/>
        <v>150</v>
      </c>
      <c r="I26" s="37">
        <f t="shared" si="1"/>
        <v>10</v>
      </c>
      <c r="J26" s="56">
        <v>10</v>
      </c>
      <c r="K26" s="57"/>
      <c r="L26" s="57"/>
      <c r="M26" s="58"/>
      <c r="N26" s="64"/>
      <c r="O26" s="65"/>
      <c r="P26" s="60">
        <f t="shared" si="2"/>
        <v>0</v>
      </c>
      <c r="Q26" s="87"/>
      <c r="R26" s="62"/>
      <c r="S26" s="68"/>
      <c r="T26" s="68"/>
      <c r="U26" s="68"/>
      <c r="V26" s="69"/>
      <c r="W26" s="76"/>
      <c r="X26" s="61">
        <f t="shared" si="4"/>
        <v>0</v>
      </c>
      <c r="Y26" s="87"/>
      <c r="Z26" s="56"/>
      <c r="AA26" s="57"/>
      <c r="AB26" s="66"/>
      <c r="AC26" s="57"/>
      <c r="AD26" s="58"/>
      <c r="AE26" s="59"/>
      <c r="AF26" s="61">
        <f t="shared" si="5"/>
        <v>0</v>
      </c>
      <c r="AG26" s="87"/>
      <c r="AH26" s="56"/>
      <c r="AI26" s="67"/>
      <c r="AJ26" s="57"/>
      <c r="AK26" s="57"/>
      <c r="AL26" s="58"/>
      <c r="AM26" s="58"/>
      <c r="AN26" s="59"/>
      <c r="AO26" s="40">
        <f t="shared" si="6"/>
        <v>0</v>
      </c>
    </row>
    <row r="27" spans="1:41" ht="20.25" customHeight="1" x14ac:dyDescent="0.25">
      <c r="A27" s="7" t="s">
        <v>20</v>
      </c>
      <c r="B27" s="33">
        <v>8624</v>
      </c>
      <c r="C27" s="7">
        <v>5240</v>
      </c>
      <c r="D27" s="7">
        <v>5241</v>
      </c>
      <c r="E27" s="17">
        <f t="shared" si="3"/>
        <v>1</v>
      </c>
      <c r="F27" s="7">
        <v>235507</v>
      </c>
      <c r="G27" s="7">
        <v>235608</v>
      </c>
      <c r="H27" s="17">
        <f t="shared" si="0"/>
        <v>101</v>
      </c>
      <c r="I27" s="37">
        <f t="shared" si="1"/>
        <v>8</v>
      </c>
      <c r="J27" s="56"/>
      <c r="K27" s="68"/>
      <c r="L27" s="57"/>
      <c r="M27" s="58"/>
      <c r="N27" s="58"/>
      <c r="O27" s="59"/>
      <c r="P27" s="60">
        <f t="shared" si="2"/>
        <v>0</v>
      </c>
      <c r="Q27" s="87"/>
      <c r="R27" s="62"/>
      <c r="S27" s="68"/>
      <c r="T27" s="68"/>
      <c r="U27" s="68"/>
      <c r="V27" s="69"/>
      <c r="W27" s="76"/>
      <c r="X27" s="61">
        <f t="shared" si="4"/>
        <v>0</v>
      </c>
      <c r="Y27" s="87"/>
      <c r="Z27" s="56">
        <v>3</v>
      </c>
      <c r="AA27" s="57">
        <v>5</v>
      </c>
      <c r="AB27" s="57"/>
      <c r="AC27" s="57"/>
      <c r="AD27" s="58"/>
      <c r="AE27" s="59"/>
      <c r="AF27" s="61">
        <f t="shared" si="5"/>
        <v>5</v>
      </c>
      <c r="AG27" s="87"/>
      <c r="AH27" s="56"/>
      <c r="AI27" s="67"/>
      <c r="AJ27" s="57"/>
      <c r="AK27" s="57"/>
      <c r="AL27" s="58"/>
      <c r="AM27" s="58"/>
      <c r="AN27" s="59"/>
      <c r="AO27" s="40">
        <f t="shared" si="6"/>
        <v>0</v>
      </c>
    </row>
    <row r="28" spans="1:41" ht="21.75" customHeight="1" x14ac:dyDescent="0.25">
      <c r="A28" s="7" t="s">
        <v>21</v>
      </c>
      <c r="B28" s="33">
        <v>8625</v>
      </c>
      <c r="C28" s="7">
        <v>7337</v>
      </c>
      <c r="D28" s="7">
        <v>7348</v>
      </c>
      <c r="E28" s="17">
        <f t="shared" si="3"/>
        <v>11</v>
      </c>
      <c r="F28" s="7">
        <v>279862</v>
      </c>
      <c r="G28" s="7">
        <v>279975</v>
      </c>
      <c r="H28" s="17">
        <f t="shared" si="0"/>
        <v>113</v>
      </c>
      <c r="I28" s="37">
        <f t="shared" si="1"/>
        <v>10</v>
      </c>
      <c r="J28" s="56"/>
      <c r="K28" s="57"/>
      <c r="L28" s="57"/>
      <c r="M28" s="58"/>
      <c r="N28" s="58"/>
      <c r="O28" s="59"/>
      <c r="P28" s="60">
        <f t="shared" si="2"/>
        <v>0</v>
      </c>
      <c r="Q28" s="87"/>
      <c r="R28" s="62"/>
      <c r="S28" s="68"/>
      <c r="T28" s="68"/>
      <c r="U28" s="68"/>
      <c r="V28" s="69"/>
      <c r="W28" s="76"/>
      <c r="X28" s="61">
        <f t="shared" si="4"/>
        <v>0</v>
      </c>
      <c r="Y28" s="87"/>
      <c r="Z28" s="56"/>
      <c r="AA28" s="57">
        <v>5</v>
      </c>
      <c r="AB28" s="57"/>
      <c r="AC28" s="57"/>
      <c r="AD28" s="58"/>
      <c r="AE28" s="59"/>
      <c r="AF28" s="61">
        <f t="shared" si="5"/>
        <v>5</v>
      </c>
      <c r="AG28" s="87"/>
      <c r="AH28" s="56">
        <v>2</v>
      </c>
      <c r="AI28" s="67"/>
      <c r="AJ28" s="57">
        <v>3</v>
      </c>
      <c r="AK28" s="57"/>
      <c r="AL28" s="58"/>
      <c r="AM28" s="58"/>
      <c r="AN28" s="59"/>
      <c r="AO28" s="40">
        <f t="shared" si="6"/>
        <v>3</v>
      </c>
    </row>
    <row r="29" spans="1:41" ht="21.75" customHeight="1" x14ac:dyDescent="0.25">
      <c r="A29" s="7" t="s">
        <v>22</v>
      </c>
      <c r="B29" s="33">
        <v>8626</v>
      </c>
      <c r="C29" s="7"/>
      <c r="D29" s="7"/>
      <c r="E29" s="17">
        <f t="shared" si="3"/>
        <v>0</v>
      </c>
      <c r="F29" s="7"/>
      <c r="G29" s="7"/>
      <c r="H29" s="17">
        <f t="shared" si="0"/>
        <v>0</v>
      </c>
      <c r="I29" s="37">
        <f t="shared" si="1"/>
        <v>0</v>
      </c>
      <c r="J29" s="56"/>
      <c r="K29" s="57"/>
      <c r="L29" s="57"/>
      <c r="M29" s="58"/>
      <c r="N29" s="58"/>
      <c r="O29" s="59"/>
      <c r="P29" s="60">
        <f t="shared" si="2"/>
        <v>0</v>
      </c>
      <c r="Q29" s="87"/>
      <c r="R29" s="62"/>
      <c r="S29" s="68"/>
      <c r="T29" s="68"/>
      <c r="U29" s="68"/>
      <c r="V29" s="69"/>
      <c r="W29" s="76"/>
      <c r="X29" s="61">
        <f t="shared" si="4"/>
        <v>0</v>
      </c>
      <c r="Y29" s="87"/>
      <c r="Z29" s="56"/>
      <c r="AA29" s="57"/>
      <c r="AB29" s="57"/>
      <c r="AC29" s="57"/>
      <c r="AD29" s="58"/>
      <c r="AE29" s="59"/>
      <c r="AF29" s="61">
        <f t="shared" si="5"/>
        <v>0</v>
      </c>
      <c r="AG29" s="87"/>
      <c r="AH29" s="56"/>
      <c r="AI29" s="67"/>
      <c r="AJ29" s="57"/>
      <c r="AK29" s="57"/>
      <c r="AL29" s="58"/>
      <c r="AM29" s="58"/>
      <c r="AN29" s="59"/>
      <c r="AO29" s="40">
        <f t="shared" si="6"/>
        <v>0</v>
      </c>
    </row>
    <row r="30" spans="1:41" ht="21.75" customHeight="1" x14ac:dyDescent="0.25">
      <c r="A30" s="7" t="s">
        <v>23</v>
      </c>
      <c r="B30" s="33">
        <v>8627</v>
      </c>
      <c r="C30" s="7">
        <v>11343</v>
      </c>
      <c r="D30" s="7">
        <v>11353</v>
      </c>
      <c r="E30" s="17">
        <f t="shared" si="3"/>
        <v>10</v>
      </c>
      <c r="F30" s="7">
        <v>140157</v>
      </c>
      <c r="G30" s="7">
        <v>140283</v>
      </c>
      <c r="H30" s="17">
        <f t="shared" si="0"/>
        <v>126</v>
      </c>
      <c r="I30" s="37">
        <f t="shared" si="1"/>
        <v>10</v>
      </c>
      <c r="J30" s="56"/>
      <c r="K30" s="57"/>
      <c r="L30" s="57"/>
      <c r="M30" s="58"/>
      <c r="N30" s="58"/>
      <c r="O30" s="59"/>
      <c r="P30" s="60">
        <f t="shared" si="2"/>
        <v>0</v>
      </c>
      <c r="Q30" s="87"/>
      <c r="R30" s="62"/>
      <c r="S30" s="68"/>
      <c r="T30" s="68"/>
      <c r="U30" s="68"/>
      <c r="V30" s="69"/>
      <c r="W30" s="76"/>
      <c r="X30" s="61">
        <f t="shared" si="4"/>
        <v>0</v>
      </c>
      <c r="Y30" s="87"/>
      <c r="Z30" s="56">
        <v>1</v>
      </c>
      <c r="AA30" s="57">
        <v>3</v>
      </c>
      <c r="AB30" s="57"/>
      <c r="AC30" s="57"/>
      <c r="AD30" s="58"/>
      <c r="AE30" s="59"/>
      <c r="AF30" s="61">
        <f t="shared" si="5"/>
        <v>3</v>
      </c>
      <c r="AG30" s="87"/>
      <c r="AH30" s="56">
        <v>2</v>
      </c>
      <c r="AI30" s="67"/>
      <c r="AJ30" s="57">
        <v>4</v>
      </c>
      <c r="AK30" s="122"/>
      <c r="AL30" s="58"/>
      <c r="AM30" s="58"/>
      <c r="AN30" s="59"/>
      <c r="AO30" s="40">
        <f t="shared" si="6"/>
        <v>4</v>
      </c>
    </row>
    <row r="31" spans="1:41" ht="21.75" customHeight="1" x14ac:dyDescent="0.25">
      <c r="A31" s="7" t="s">
        <v>24</v>
      </c>
      <c r="B31" s="33">
        <v>8628</v>
      </c>
      <c r="C31" s="7">
        <v>10758</v>
      </c>
      <c r="D31" s="7">
        <v>10769.7</v>
      </c>
      <c r="E31" s="17">
        <f t="shared" si="3"/>
        <v>11.700000000000728</v>
      </c>
      <c r="F31" s="7">
        <v>144886</v>
      </c>
      <c r="G31" s="7">
        <v>145076</v>
      </c>
      <c r="H31" s="17">
        <f t="shared" si="0"/>
        <v>190</v>
      </c>
      <c r="I31" s="37">
        <f t="shared" si="1"/>
        <v>13</v>
      </c>
      <c r="J31" s="56"/>
      <c r="K31" s="57"/>
      <c r="L31" s="57"/>
      <c r="M31" s="58"/>
      <c r="N31" s="58"/>
      <c r="O31" s="59"/>
      <c r="P31" s="60">
        <f t="shared" si="2"/>
        <v>0</v>
      </c>
      <c r="Q31" s="87"/>
      <c r="R31" s="62"/>
      <c r="S31" s="68"/>
      <c r="T31" s="68"/>
      <c r="U31" s="68"/>
      <c r="V31" s="69"/>
      <c r="W31" s="76"/>
      <c r="X31" s="61">
        <f t="shared" si="4"/>
        <v>0</v>
      </c>
      <c r="Y31" s="87"/>
      <c r="Z31" s="56">
        <v>8</v>
      </c>
      <c r="AA31" s="57">
        <v>5</v>
      </c>
      <c r="AB31" s="57"/>
      <c r="AC31" s="57"/>
      <c r="AD31" s="58"/>
      <c r="AE31" s="59"/>
      <c r="AF31" s="61">
        <f t="shared" si="5"/>
        <v>5</v>
      </c>
      <c r="AG31" s="87"/>
      <c r="AH31" s="56"/>
      <c r="AI31" s="67"/>
      <c r="AJ31" s="57"/>
      <c r="AK31" s="57"/>
      <c r="AL31" s="58"/>
      <c r="AM31" s="58"/>
      <c r="AN31" s="59"/>
      <c r="AO31" s="40">
        <f t="shared" si="6"/>
        <v>0</v>
      </c>
    </row>
    <row r="32" spans="1:41" ht="21.75" customHeight="1" x14ac:dyDescent="0.25">
      <c r="A32" s="7" t="s">
        <v>25</v>
      </c>
      <c r="B32" s="33">
        <v>8629</v>
      </c>
      <c r="C32" s="7">
        <v>11187</v>
      </c>
      <c r="D32" s="7">
        <v>11198</v>
      </c>
      <c r="E32" s="17">
        <f t="shared" si="3"/>
        <v>11</v>
      </c>
      <c r="F32" s="7">
        <v>145818</v>
      </c>
      <c r="G32" s="7">
        <v>145943</v>
      </c>
      <c r="H32" s="17">
        <f t="shared" si="0"/>
        <v>125</v>
      </c>
      <c r="I32" s="37">
        <f t="shared" si="1"/>
        <v>10</v>
      </c>
      <c r="J32" s="56"/>
      <c r="K32" s="57"/>
      <c r="L32" s="57"/>
      <c r="M32" s="58"/>
      <c r="N32" s="58"/>
      <c r="O32" s="59"/>
      <c r="P32" s="60">
        <f t="shared" si="2"/>
        <v>0</v>
      </c>
      <c r="Q32" s="87"/>
      <c r="R32" s="62"/>
      <c r="S32" s="68"/>
      <c r="T32" s="68"/>
      <c r="U32" s="68"/>
      <c r="V32" s="69"/>
      <c r="W32" s="76"/>
      <c r="X32" s="61">
        <f t="shared" si="4"/>
        <v>0</v>
      </c>
      <c r="Y32" s="87"/>
      <c r="Z32" s="56">
        <v>1</v>
      </c>
      <c r="AA32" s="57">
        <v>3</v>
      </c>
      <c r="AB32" s="57"/>
      <c r="AC32" s="57"/>
      <c r="AD32" s="58"/>
      <c r="AE32" s="59"/>
      <c r="AF32" s="61">
        <f t="shared" si="5"/>
        <v>3</v>
      </c>
      <c r="AG32" s="87"/>
      <c r="AH32" s="56">
        <v>2</v>
      </c>
      <c r="AI32" s="67"/>
      <c r="AJ32" s="57">
        <v>4</v>
      </c>
      <c r="AK32" s="57"/>
      <c r="AL32" s="58"/>
      <c r="AM32" s="58"/>
      <c r="AN32" s="59"/>
      <c r="AO32" s="40">
        <f t="shared" si="6"/>
        <v>4</v>
      </c>
    </row>
    <row r="33" spans="1:41" ht="21.75" customHeight="1" x14ac:dyDescent="0.25">
      <c r="A33" s="7" t="s">
        <v>26</v>
      </c>
      <c r="B33" s="33">
        <v>8630</v>
      </c>
      <c r="C33" s="7">
        <v>6027.4</v>
      </c>
      <c r="D33" s="7">
        <v>6039.1</v>
      </c>
      <c r="E33" s="17">
        <f t="shared" si="3"/>
        <v>11.700000000000728</v>
      </c>
      <c r="F33" s="7">
        <v>75643</v>
      </c>
      <c r="G33" s="7">
        <v>76800</v>
      </c>
      <c r="H33" s="17">
        <f t="shared" si="0"/>
        <v>1157</v>
      </c>
      <c r="I33" s="37">
        <f t="shared" si="1"/>
        <v>11</v>
      </c>
      <c r="J33" s="56"/>
      <c r="K33" s="57"/>
      <c r="L33" s="57"/>
      <c r="M33" s="58"/>
      <c r="N33" s="58"/>
      <c r="O33" s="59"/>
      <c r="P33" s="60">
        <f t="shared" si="2"/>
        <v>0</v>
      </c>
      <c r="Q33" s="87"/>
      <c r="R33" s="62"/>
      <c r="S33" s="68"/>
      <c r="T33" s="68"/>
      <c r="U33" s="68"/>
      <c r="V33" s="69"/>
      <c r="W33" s="76"/>
      <c r="X33" s="61">
        <f t="shared" si="4"/>
        <v>0</v>
      </c>
      <c r="Y33" s="87"/>
      <c r="Z33" s="56">
        <v>6</v>
      </c>
      <c r="AA33" s="57">
        <v>5</v>
      </c>
      <c r="AB33" s="57"/>
      <c r="AC33" s="57"/>
      <c r="AD33" s="58"/>
      <c r="AE33" s="59"/>
      <c r="AF33" s="61">
        <f t="shared" si="5"/>
        <v>5</v>
      </c>
      <c r="AG33" s="87"/>
      <c r="AH33" s="56"/>
      <c r="AI33" s="67"/>
      <c r="AJ33" s="57"/>
      <c r="AK33" s="57"/>
      <c r="AL33" s="58"/>
      <c r="AM33" s="58"/>
      <c r="AN33" s="59"/>
      <c r="AO33" s="40">
        <f t="shared" si="6"/>
        <v>0</v>
      </c>
    </row>
    <row r="34" spans="1:41" ht="21.75" customHeight="1" x14ac:dyDescent="0.25">
      <c r="A34" s="7" t="s">
        <v>27</v>
      </c>
      <c r="B34" s="33">
        <v>8632</v>
      </c>
      <c r="C34" s="7">
        <v>9171</v>
      </c>
      <c r="D34" s="7">
        <v>9182.2999999999993</v>
      </c>
      <c r="E34" s="17">
        <f t="shared" si="3"/>
        <v>11.299999999999272</v>
      </c>
      <c r="F34" s="7">
        <v>111698</v>
      </c>
      <c r="G34" s="7">
        <f>+F34+130</f>
        <v>111828</v>
      </c>
      <c r="H34" s="17">
        <f t="shared" si="0"/>
        <v>130</v>
      </c>
      <c r="I34" s="37">
        <f t="shared" si="1"/>
        <v>10</v>
      </c>
      <c r="J34" s="109"/>
      <c r="K34" s="110"/>
      <c r="L34" s="110"/>
      <c r="M34" s="111"/>
      <c r="N34" s="111"/>
      <c r="O34" s="112"/>
      <c r="P34" s="60">
        <f t="shared" si="2"/>
        <v>0</v>
      </c>
      <c r="Q34" s="87"/>
      <c r="R34" s="62">
        <v>1</v>
      </c>
      <c r="S34" s="68">
        <v>1</v>
      </c>
      <c r="T34" s="68">
        <v>3</v>
      </c>
      <c r="U34" s="68"/>
      <c r="V34" s="69">
        <v>3</v>
      </c>
      <c r="W34" s="76"/>
      <c r="X34" s="61">
        <f t="shared" si="4"/>
        <v>7</v>
      </c>
      <c r="Y34" s="87"/>
      <c r="Z34" s="56"/>
      <c r="AA34" s="57"/>
      <c r="AB34" s="57"/>
      <c r="AC34" s="57"/>
      <c r="AD34" s="58"/>
      <c r="AE34" s="59"/>
      <c r="AF34" s="61">
        <f t="shared" si="5"/>
        <v>0</v>
      </c>
      <c r="AG34" s="87"/>
      <c r="AH34" s="56">
        <v>2</v>
      </c>
      <c r="AI34" s="67"/>
      <c r="AJ34" s="57"/>
      <c r="AK34" s="57"/>
      <c r="AL34" s="58"/>
      <c r="AM34" s="58"/>
      <c r="AN34" s="59"/>
      <c r="AO34" s="40">
        <f t="shared" si="6"/>
        <v>0</v>
      </c>
    </row>
    <row r="35" spans="1:41" ht="21.75" customHeight="1" x14ac:dyDescent="0.25">
      <c r="A35" s="7" t="s">
        <v>34</v>
      </c>
      <c r="B35" s="33">
        <v>8633</v>
      </c>
      <c r="C35" s="7">
        <v>8029</v>
      </c>
      <c r="D35" s="7">
        <v>8039.7</v>
      </c>
      <c r="E35" s="17">
        <f t="shared" si="3"/>
        <v>10.699999999999818</v>
      </c>
      <c r="F35" s="7">
        <v>118787</v>
      </c>
      <c r="G35" s="7">
        <f>+F35+130</f>
        <v>118917</v>
      </c>
      <c r="H35" s="17">
        <f t="shared" si="0"/>
        <v>130</v>
      </c>
      <c r="I35" s="37">
        <f t="shared" si="1"/>
        <v>9</v>
      </c>
      <c r="J35" s="56"/>
      <c r="K35" s="57"/>
      <c r="L35" s="57"/>
      <c r="M35" s="58"/>
      <c r="N35" s="58"/>
      <c r="O35" s="59"/>
      <c r="P35" s="60">
        <f t="shared" si="2"/>
        <v>0</v>
      </c>
      <c r="Q35" s="87"/>
      <c r="R35" s="62"/>
      <c r="S35" s="68"/>
      <c r="T35" s="68"/>
      <c r="U35" s="68"/>
      <c r="V35" s="69"/>
      <c r="W35" s="76"/>
      <c r="X35" s="61">
        <f t="shared" si="4"/>
        <v>0</v>
      </c>
      <c r="Y35" s="87"/>
      <c r="Z35" s="56">
        <v>3</v>
      </c>
      <c r="AA35" s="57">
        <v>6</v>
      </c>
      <c r="AB35" s="57"/>
      <c r="AC35" s="57"/>
      <c r="AD35" s="58"/>
      <c r="AE35" s="59"/>
      <c r="AF35" s="61">
        <f t="shared" si="5"/>
        <v>6</v>
      </c>
      <c r="AG35" s="87"/>
      <c r="AH35" s="56"/>
      <c r="AI35" s="67"/>
      <c r="AJ35" s="57"/>
      <c r="AK35" s="57"/>
      <c r="AL35" s="58"/>
      <c r="AM35" s="58"/>
      <c r="AN35" s="59"/>
      <c r="AO35" s="40">
        <f t="shared" si="6"/>
        <v>0</v>
      </c>
    </row>
    <row r="36" spans="1:41" ht="21.75" customHeight="1" x14ac:dyDescent="0.25">
      <c r="A36" s="7" t="s">
        <v>33</v>
      </c>
      <c r="B36" s="34">
        <v>8644</v>
      </c>
      <c r="C36" s="7"/>
      <c r="D36" s="7"/>
      <c r="E36" s="17">
        <f t="shared" si="3"/>
        <v>0</v>
      </c>
      <c r="F36" s="7"/>
      <c r="G36" s="7"/>
      <c r="H36" s="17">
        <f t="shared" si="0"/>
        <v>0</v>
      </c>
      <c r="I36" s="91">
        <f t="shared" si="1"/>
        <v>0</v>
      </c>
      <c r="J36" s="56"/>
      <c r="K36" s="57"/>
      <c r="L36" s="57"/>
      <c r="M36" s="58"/>
      <c r="N36" s="58"/>
      <c r="O36" s="59"/>
      <c r="P36" s="60">
        <f t="shared" si="2"/>
        <v>0</v>
      </c>
      <c r="Q36" s="87"/>
      <c r="R36" s="62"/>
      <c r="S36" s="68"/>
      <c r="T36" s="68"/>
      <c r="U36" s="68"/>
      <c r="V36" s="69"/>
      <c r="W36" s="76"/>
      <c r="X36" s="61">
        <f t="shared" si="4"/>
        <v>0</v>
      </c>
      <c r="Y36" s="87"/>
      <c r="Z36" s="56"/>
      <c r="AA36" s="57"/>
      <c r="AB36" s="57"/>
      <c r="AC36" s="57"/>
      <c r="AD36" s="58"/>
      <c r="AE36" s="59"/>
      <c r="AF36" s="61">
        <f t="shared" si="5"/>
        <v>0</v>
      </c>
      <c r="AG36" s="87"/>
      <c r="AH36" s="56"/>
      <c r="AI36" s="67"/>
      <c r="AJ36" s="57"/>
      <c r="AK36" s="57"/>
      <c r="AL36" s="58"/>
      <c r="AM36" s="58"/>
      <c r="AN36" s="59"/>
      <c r="AO36" s="40">
        <f t="shared" si="6"/>
        <v>0</v>
      </c>
    </row>
    <row r="37" spans="1:41" ht="21.75" customHeight="1" x14ac:dyDescent="0.25">
      <c r="A37" s="7" t="s">
        <v>33</v>
      </c>
      <c r="B37" s="34">
        <v>8645</v>
      </c>
      <c r="C37" s="7">
        <v>10487.2</v>
      </c>
      <c r="D37" s="7">
        <v>10497.5</v>
      </c>
      <c r="E37" s="17">
        <f t="shared" si="3"/>
        <v>10.299999999999272</v>
      </c>
      <c r="F37" s="7">
        <v>147349</v>
      </c>
      <c r="G37" s="7">
        <v>147500</v>
      </c>
      <c r="H37" s="17">
        <f t="shared" si="0"/>
        <v>151</v>
      </c>
      <c r="I37" s="91">
        <f t="shared" si="1"/>
        <v>11</v>
      </c>
      <c r="J37" s="56"/>
      <c r="K37" s="68"/>
      <c r="L37" s="68"/>
      <c r="M37" s="69"/>
      <c r="N37" s="69"/>
      <c r="O37" s="59"/>
      <c r="P37" s="60">
        <f t="shared" si="2"/>
        <v>0</v>
      </c>
      <c r="Q37" s="87"/>
      <c r="R37" s="62"/>
      <c r="S37" s="68">
        <v>1</v>
      </c>
      <c r="T37" s="68">
        <v>2</v>
      </c>
      <c r="U37" s="68"/>
      <c r="V37" s="69">
        <v>1</v>
      </c>
      <c r="W37" s="76"/>
      <c r="X37" s="61">
        <f t="shared" si="4"/>
        <v>4</v>
      </c>
      <c r="Y37" s="87"/>
      <c r="Z37" s="56"/>
      <c r="AA37" s="57"/>
      <c r="AB37" s="57"/>
      <c r="AC37" s="57"/>
      <c r="AD37" s="58"/>
      <c r="AE37" s="59"/>
      <c r="AF37" s="61">
        <f t="shared" si="5"/>
        <v>0</v>
      </c>
      <c r="AG37" s="87"/>
      <c r="AH37" s="56">
        <v>2</v>
      </c>
      <c r="AI37" s="67"/>
      <c r="AJ37" s="57">
        <v>5</v>
      </c>
      <c r="AK37" s="57"/>
      <c r="AL37" s="58"/>
      <c r="AM37" s="58"/>
      <c r="AN37" s="59"/>
      <c r="AO37" s="40">
        <f t="shared" si="6"/>
        <v>5</v>
      </c>
    </row>
    <row r="38" spans="1:41" ht="21.75" customHeight="1" x14ac:dyDescent="0.25">
      <c r="A38" s="7" t="s">
        <v>28</v>
      </c>
      <c r="B38" s="33">
        <v>8651</v>
      </c>
      <c r="C38" s="7">
        <v>6350</v>
      </c>
      <c r="D38" s="7">
        <v>6358.9</v>
      </c>
      <c r="E38" s="17">
        <f t="shared" si="3"/>
        <v>8.8999999999996362</v>
      </c>
      <c r="F38" s="7">
        <v>81871</v>
      </c>
      <c r="G38" s="7">
        <v>81969</v>
      </c>
      <c r="H38" s="17">
        <f t="shared" si="0"/>
        <v>98</v>
      </c>
      <c r="I38" s="91">
        <f t="shared" si="1"/>
        <v>9</v>
      </c>
      <c r="J38" s="62"/>
      <c r="K38" s="57"/>
      <c r="L38" s="57"/>
      <c r="M38" s="58"/>
      <c r="N38" s="58"/>
      <c r="O38" s="59"/>
      <c r="P38" s="60">
        <f t="shared" si="2"/>
        <v>0</v>
      </c>
      <c r="Q38" s="87"/>
      <c r="R38" s="62">
        <v>2</v>
      </c>
      <c r="S38" s="68"/>
      <c r="T38" s="68">
        <v>4</v>
      </c>
      <c r="U38" s="68">
        <v>3</v>
      </c>
      <c r="V38" s="69"/>
      <c r="W38" s="76"/>
      <c r="X38" s="61">
        <f t="shared" si="4"/>
        <v>7</v>
      </c>
      <c r="Y38" s="87"/>
      <c r="Z38" s="56"/>
      <c r="AA38" s="57"/>
      <c r="AB38" s="57"/>
      <c r="AC38" s="57"/>
      <c r="AD38" s="58"/>
      <c r="AE38" s="59"/>
      <c r="AF38" s="61">
        <f t="shared" si="5"/>
        <v>0</v>
      </c>
      <c r="AG38" s="87"/>
      <c r="AH38" s="56"/>
      <c r="AI38" s="67"/>
      <c r="AJ38" s="57"/>
      <c r="AK38" s="57"/>
      <c r="AL38" s="58"/>
      <c r="AM38" s="58"/>
      <c r="AN38" s="59"/>
      <c r="AO38" s="40">
        <f t="shared" si="6"/>
        <v>0</v>
      </c>
    </row>
    <row r="39" spans="1:41" ht="21.75" customHeight="1" thickBot="1" x14ac:dyDescent="0.3">
      <c r="A39" s="8" t="s">
        <v>29</v>
      </c>
      <c r="B39" s="81">
        <v>8652</v>
      </c>
      <c r="C39" s="8">
        <v>5906.2</v>
      </c>
      <c r="D39" s="8">
        <v>5918</v>
      </c>
      <c r="E39" s="17">
        <f t="shared" si="3"/>
        <v>11.800000000000182</v>
      </c>
      <c r="F39" s="8">
        <v>75792</v>
      </c>
      <c r="G39" s="8">
        <v>75981</v>
      </c>
      <c r="H39" s="82">
        <f t="shared" si="0"/>
        <v>189</v>
      </c>
      <c r="I39" s="92">
        <f t="shared" si="1"/>
        <v>13</v>
      </c>
      <c r="J39" s="70"/>
      <c r="K39" s="71"/>
      <c r="L39" s="71"/>
      <c r="M39" s="72"/>
      <c r="N39" s="72"/>
      <c r="O39" s="73"/>
      <c r="P39" s="74">
        <f t="shared" si="2"/>
        <v>0</v>
      </c>
      <c r="Q39" s="87"/>
      <c r="R39" s="77"/>
      <c r="S39" s="78"/>
      <c r="T39" s="78"/>
      <c r="U39" s="78"/>
      <c r="V39" s="79"/>
      <c r="W39" s="80"/>
      <c r="X39" s="93">
        <f t="shared" si="4"/>
        <v>0</v>
      </c>
      <c r="Y39" s="87"/>
      <c r="Z39" s="70">
        <v>4</v>
      </c>
      <c r="AA39" s="71">
        <v>9</v>
      </c>
      <c r="AB39" s="71"/>
      <c r="AC39" s="71"/>
      <c r="AD39" s="72"/>
      <c r="AE39" s="73"/>
      <c r="AF39" s="93">
        <f t="shared" si="5"/>
        <v>9</v>
      </c>
      <c r="AG39" s="87"/>
      <c r="AH39" s="70"/>
      <c r="AI39" s="75"/>
      <c r="AJ39" s="71"/>
      <c r="AK39" s="71"/>
      <c r="AL39" s="58"/>
      <c r="AM39" s="72"/>
      <c r="AN39" s="73"/>
      <c r="AO39" s="41">
        <f t="shared" si="6"/>
        <v>0</v>
      </c>
    </row>
    <row r="40" spans="1:41" ht="24.75" customHeight="1" x14ac:dyDescent="0.25">
      <c r="I40" s="89">
        <f>SUM(I4:I39)</f>
        <v>251</v>
      </c>
      <c r="J40" s="88">
        <f>SUM(J4:J39)</f>
        <v>101</v>
      </c>
      <c r="K40" s="88">
        <f>SUM(K4:K39)</f>
        <v>0</v>
      </c>
      <c r="L40" s="88">
        <f>SUM(L4:L39)</f>
        <v>0</v>
      </c>
      <c r="M40" s="88">
        <f t="shared" ref="M40" si="7">SUM(M4:M39)</f>
        <v>0</v>
      </c>
      <c r="N40" s="88">
        <f>SUM(N4:N39)</f>
        <v>0</v>
      </c>
      <c r="O40" s="88">
        <f>SUM(O4:O39)</f>
        <v>0</v>
      </c>
      <c r="P40" s="113">
        <f>SUM(J40:O40)</f>
        <v>101</v>
      </c>
      <c r="R40" s="108">
        <f t="shared" ref="R40:W40" si="8">SUM(R4:R39)</f>
        <v>7</v>
      </c>
      <c r="S40" s="83">
        <f t="shared" si="8"/>
        <v>6</v>
      </c>
      <c r="T40" s="83">
        <f t="shared" si="8"/>
        <v>27</v>
      </c>
      <c r="U40" s="83">
        <f t="shared" si="8"/>
        <v>11</v>
      </c>
      <c r="V40" s="83">
        <f t="shared" si="8"/>
        <v>6</v>
      </c>
      <c r="W40" s="83">
        <f t="shared" si="8"/>
        <v>0</v>
      </c>
      <c r="X40" s="114">
        <f>SUM(R40:W40)</f>
        <v>57</v>
      </c>
      <c r="Z40" s="94">
        <f>Z39</f>
        <v>4</v>
      </c>
      <c r="AA40" s="83"/>
      <c r="AB40" s="83">
        <f t="shared" ref="AB40:AE40" si="9">SUM(AB4:AB39)</f>
        <v>0</v>
      </c>
      <c r="AC40" s="83">
        <f t="shared" si="9"/>
        <v>0</v>
      </c>
      <c r="AD40" s="83">
        <f t="shared" si="9"/>
        <v>0</v>
      </c>
      <c r="AE40" s="83">
        <f t="shared" si="9"/>
        <v>0</v>
      </c>
      <c r="AF40" s="114">
        <f>SUM(Z40:AE40)</f>
        <v>4</v>
      </c>
      <c r="AH40" s="94">
        <f>SUM(AH4:AH39)</f>
        <v>10</v>
      </c>
      <c r="AI40" s="83">
        <f t="shared" ref="AI40:AN40" si="10">SUM(AI4:AI39)</f>
        <v>0</v>
      </c>
      <c r="AJ40" s="83">
        <f t="shared" si="10"/>
        <v>16</v>
      </c>
      <c r="AK40" s="83">
        <f t="shared" si="10"/>
        <v>0</v>
      </c>
      <c r="AL40" s="83">
        <f t="shared" si="10"/>
        <v>0</v>
      </c>
      <c r="AM40" s="83">
        <f t="shared" si="10"/>
        <v>0</v>
      </c>
      <c r="AN40" s="83">
        <f t="shared" si="10"/>
        <v>0</v>
      </c>
      <c r="AO40" s="115">
        <f>SUM(AH40:AN40)</f>
        <v>26</v>
      </c>
    </row>
    <row r="41" spans="1:41" ht="24.75" customHeight="1" x14ac:dyDescent="0.25">
      <c r="H41" t="s">
        <v>46</v>
      </c>
      <c r="I41" s="38"/>
      <c r="J41" s="1">
        <f>SUM(J4:J23)*25</f>
        <v>2025</v>
      </c>
      <c r="K41" s="1">
        <f t="shared" ref="K41:W41" si="11">SUM(K4:K23)*25</f>
        <v>0</v>
      </c>
      <c r="L41" s="1">
        <f t="shared" si="11"/>
        <v>0</v>
      </c>
      <c r="M41" s="1">
        <f t="shared" si="11"/>
        <v>0</v>
      </c>
      <c r="N41" s="1">
        <f t="shared" si="11"/>
        <v>0</v>
      </c>
      <c r="O41" s="1">
        <f t="shared" si="11"/>
        <v>0</v>
      </c>
      <c r="P41" s="51">
        <f>SUM(P4:P23)*25</f>
        <v>0</v>
      </c>
      <c r="R41" s="27">
        <f t="shared" si="11"/>
        <v>100</v>
      </c>
      <c r="S41" s="1">
        <f t="shared" si="11"/>
        <v>100</v>
      </c>
      <c r="T41" s="1">
        <f t="shared" si="11"/>
        <v>450</v>
      </c>
      <c r="U41" s="1">
        <f t="shared" si="11"/>
        <v>200</v>
      </c>
      <c r="V41" s="1">
        <f t="shared" si="11"/>
        <v>50</v>
      </c>
      <c r="W41" s="1">
        <f t="shared" si="11"/>
        <v>0</v>
      </c>
      <c r="X41" s="36">
        <f>SUM(X4:X23)*25</f>
        <v>800</v>
      </c>
      <c r="Z41" s="2">
        <f t="shared" ref="Z41:AF41" si="12">SUM(Z4:Z23)*25</f>
        <v>0</v>
      </c>
      <c r="AA41" s="1">
        <f t="shared" si="12"/>
        <v>0</v>
      </c>
      <c r="AB41" s="1">
        <f t="shared" si="12"/>
        <v>0</v>
      </c>
      <c r="AC41" s="1">
        <f t="shared" si="12"/>
        <v>0</v>
      </c>
      <c r="AD41" s="1">
        <f t="shared" si="12"/>
        <v>0</v>
      </c>
      <c r="AE41" s="1">
        <f t="shared" si="12"/>
        <v>0</v>
      </c>
      <c r="AF41" s="36">
        <f t="shared" si="12"/>
        <v>0</v>
      </c>
      <c r="AH41" s="2">
        <f t="shared" ref="AH41:AN41" si="13">SUM(AH4:AH23)*25</f>
        <v>0</v>
      </c>
      <c r="AI41" s="1">
        <f t="shared" si="13"/>
        <v>0</v>
      </c>
      <c r="AJ41" s="1">
        <f t="shared" si="13"/>
        <v>0</v>
      </c>
      <c r="AK41" s="1">
        <f t="shared" si="13"/>
        <v>0</v>
      </c>
      <c r="AL41" s="1">
        <f t="shared" si="13"/>
        <v>0</v>
      </c>
      <c r="AM41" s="1">
        <f t="shared" si="13"/>
        <v>0</v>
      </c>
      <c r="AN41" s="1">
        <f t="shared" si="13"/>
        <v>0</v>
      </c>
      <c r="AO41" s="36">
        <f>SUM(AO4:AO23)*25</f>
        <v>0</v>
      </c>
    </row>
    <row r="42" spans="1:41" ht="24.75" customHeight="1" x14ac:dyDescent="0.25">
      <c r="H42" t="s">
        <v>47</v>
      </c>
      <c r="I42" s="38"/>
      <c r="J42" s="1">
        <f>SUM(J24:J39)*20</f>
        <v>400</v>
      </c>
      <c r="K42" s="1">
        <f>SUM(K24:K39)*20</f>
        <v>0</v>
      </c>
      <c r="L42" s="1">
        <f>SUM(L24:L39)*20</f>
        <v>0</v>
      </c>
      <c r="M42" s="1">
        <f t="shared" ref="M42:X42" si="14">SUM(M24:M39)*20</f>
        <v>0</v>
      </c>
      <c r="N42" s="1">
        <f t="shared" si="14"/>
        <v>0</v>
      </c>
      <c r="O42" s="1">
        <f t="shared" si="14"/>
        <v>0</v>
      </c>
      <c r="P42" s="51">
        <f t="shared" si="14"/>
        <v>0</v>
      </c>
      <c r="R42" s="27">
        <f t="shared" si="14"/>
        <v>60</v>
      </c>
      <c r="S42" s="1">
        <f t="shared" si="14"/>
        <v>40</v>
      </c>
      <c r="T42" s="1">
        <f t="shared" si="14"/>
        <v>180</v>
      </c>
      <c r="U42" s="1">
        <f t="shared" si="14"/>
        <v>60</v>
      </c>
      <c r="V42" s="1">
        <f t="shared" si="14"/>
        <v>80</v>
      </c>
      <c r="W42" s="1">
        <f t="shared" si="14"/>
        <v>0</v>
      </c>
      <c r="X42" s="36">
        <f t="shared" si="14"/>
        <v>360</v>
      </c>
      <c r="Z42" s="2">
        <f t="shared" ref="Z42:AF42" si="15">SUM(Z24:Z39)*20</f>
        <v>520</v>
      </c>
      <c r="AA42" s="1">
        <f t="shared" si="15"/>
        <v>820</v>
      </c>
      <c r="AB42" s="1">
        <f t="shared" si="15"/>
        <v>0</v>
      </c>
      <c r="AC42" s="1">
        <f t="shared" si="15"/>
        <v>0</v>
      </c>
      <c r="AD42" s="1">
        <f t="shared" si="15"/>
        <v>0</v>
      </c>
      <c r="AE42" s="1">
        <f t="shared" si="15"/>
        <v>0</v>
      </c>
      <c r="AF42" s="36">
        <f t="shared" si="15"/>
        <v>820</v>
      </c>
      <c r="AH42" s="2">
        <f t="shared" ref="AH42:AN42" si="16">SUM(AH24:AH39)*20</f>
        <v>200</v>
      </c>
      <c r="AI42" s="1">
        <f t="shared" si="16"/>
        <v>0</v>
      </c>
      <c r="AJ42" s="1">
        <f t="shared" si="16"/>
        <v>320</v>
      </c>
      <c r="AK42" s="1">
        <f t="shared" si="16"/>
        <v>0</v>
      </c>
      <c r="AL42" s="1">
        <f t="shared" si="16"/>
        <v>0</v>
      </c>
      <c r="AM42" s="1">
        <f t="shared" si="16"/>
        <v>0</v>
      </c>
      <c r="AN42" s="1">
        <f t="shared" si="16"/>
        <v>0</v>
      </c>
      <c r="AO42" s="36">
        <f>SUM(AO24:AO39)*20</f>
        <v>320</v>
      </c>
    </row>
    <row r="43" spans="1:41" ht="24.75" customHeight="1" thickBot="1" x14ac:dyDescent="0.3">
      <c r="I43" s="144" t="s">
        <v>35</v>
      </c>
      <c r="J43" s="145"/>
      <c r="K43" s="145">
        <f>SUM(J41:N42)</f>
        <v>2425</v>
      </c>
      <c r="L43" s="145"/>
      <c r="M43" s="145"/>
      <c r="N43" s="145"/>
      <c r="O43" s="145"/>
      <c r="P43" s="86"/>
      <c r="Q43" s="32"/>
      <c r="R43" s="144">
        <f>SUM(R41:W42)</f>
        <v>1320</v>
      </c>
      <c r="S43" s="145"/>
      <c r="T43" s="145"/>
      <c r="U43" s="145"/>
      <c r="V43" s="145"/>
      <c r="W43" s="145"/>
      <c r="X43" s="85"/>
      <c r="Y43" s="32"/>
      <c r="Z43" s="144">
        <f>SUM(Z41:AE42)</f>
        <v>1340</v>
      </c>
      <c r="AA43" s="145"/>
      <c r="AB43" s="145"/>
      <c r="AC43" s="145"/>
      <c r="AD43" s="145"/>
      <c r="AE43" s="145"/>
      <c r="AF43" s="85"/>
      <c r="AG43" s="32"/>
      <c r="AH43" s="144">
        <f>SUM(AH41:AN42)</f>
        <v>520</v>
      </c>
      <c r="AI43" s="145"/>
      <c r="AJ43" s="145"/>
      <c r="AK43" s="145"/>
      <c r="AL43" s="145"/>
      <c r="AM43" s="145"/>
      <c r="AN43" s="145"/>
      <c r="AO43" s="96">
        <f>SUM(K43:AN43)</f>
        <v>5605</v>
      </c>
    </row>
    <row r="44" spans="1:41" ht="24.75" customHeight="1" x14ac:dyDescent="0.25">
      <c r="J44">
        <v>7.6</v>
      </c>
      <c r="AH44">
        <v>10.4</v>
      </c>
      <c r="AJ44">
        <v>9.1999999999999993</v>
      </c>
    </row>
  </sheetData>
  <autoFilter ref="J1:AO44" xr:uid="{F8CA6F40-0EAA-4AF9-9803-415709AD0E2F}"/>
  <mergeCells count="9">
    <mergeCell ref="J2:O2"/>
    <mergeCell ref="R2:W2"/>
    <mergeCell ref="Z2:AE2"/>
    <mergeCell ref="AH2:AN2"/>
    <mergeCell ref="I43:J43"/>
    <mergeCell ref="K43:O43"/>
    <mergeCell ref="R43:W43"/>
    <mergeCell ref="Z43:AE43"/>
    <mergeCell ref="AH43:AN43"/>
  </mergeCells>
  <conditionalFormatting sqref="J4:O39 R4:W39 AH4:AN39">
    <cfRule type="expression" dxfId="5" priority="3">
      <formula>MOD(ROW(),2)</formula>
    </cfRule>
  </conditionalFormatting>
  <conditionalFormatting sqref="Z4:AE39">
    <cfRule type="expression" dxfId="4" priority="2">
      <formula>MOD(ROW(),2)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74CAF-715A-4F64-8B34-D595860C2393}">
  <dimension ref="A1:AQ49"/>
  <sheetViews>
    <sheetView showGridLines="0" tabSelected="1" topLeftCell="B1" zoomScale="55" zoomScaleNormal="55" workbookViewId="0">
      <selection activeCell="Q32" sqref="Q32"/>
    </sheetView>
  </sheetViews>
  <sheetFormatPr defaultRowHeight="15" x14ac:dyDescent="0.25"/>
  <cols>
    <col min="1" max="1" width="37.85546875" style="146" hidden="1" customWidth="1"/>
    <col min="2" max="2" width="37.85546875" style="146" customWidth="1"/>
    <col min="3" max="3" width="10.140625" style="146" bestFit="1" customWidth="1"/>
    <col min="4" max="4" width="21.5703125" style="146" customWidth="1"/>
    <col min="5" max="6" width="16.140625" style="146" bestFit="1" customWidth="1"/>
    <col min="7" max="7" width="20.140625" style="146" bestFit="1" customWidth="1"/>
    <col min="8" max="9" width="11.5703125" style="146" bestFit="1" customWidth="1"/>
    <col min="10" max="10" width="8.7109375" style="146" bestFit="1" customWidth="1"/>
    <col min="11" max="11" width="11.85546875" style="147" bestFit="1" customWidth="1"/>
    <col min="12" max="12" width="13" style="146" customWidth="1"/>
    <col min="13" max="17" width="9.42578125" style="146" customWidth="1"/>
    <col min="18" max="18" width="14.42578125" style="146" bestFit="1" customWidth="1"/>
    <col min="19" max="25" width="9.42578125" style="146" customWidth="1"/>
    <col min="26" max="26" width="14.85546875" style="146" bestFit="1" customWidth="1"/>
    <col min="27" max="27" width="8.7109375" style="146" customWidth="1"/>
    <col min="28" max="28" width="11.140625" style="146" customWidth="1"/>
    <col min="29" max="33" width="11.42578125" style="146" customWidth="1"/>
    <col min="34" max="34" width="14.85546875" style="146" bestFit="1" customWidth="1"/>
    <col min="35" max="35" width="7.7109375" style="146" customWidth="1"/>
    <col min="36" max="42" width="9.42578125" style="146" customWidth="1"/>
    <col min="43" max="43" width="14.85546875" style="146" bestFit="1" customWidth="1"/>
    <col min="44" max="16384" width="9.140625" style="146"/>
  </cols>
  <sheetData>
    <row r="1" spans="1:43" ht="15.75" thickBot="1" x14ac:dyDescent="0.3"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</row>
    <row r="2" spans="1:43" ht="21" thickBot="1" x14ac:dyDescent="0.35">
      <c r="C2" s="147"/>
      <c r="D2" s="147"/>
      <c r="L2" s="204" t="s">
        <v>37</v>
      </c>
      <c r="M2" s="205"/>
      <c r="N2" s="205"/>
      <c r="O2" s="205"/>
      <c r="P2" s="205"/>
      <c r="Q2" s="205"/>
      <c r="R2" s="206"/>
      <c r="S2" s="147"/>
      <c r="T2" s="204" t="s">
        <v>38</v>
      </c>
      <c r="U2" s="205"/>
      <c r="V2" s="205"/>
      <c r="W2" s="205"/>
      <c r="X2" s="205"/>
      <c r="Y2" s="205"/>
      <c r="Z2" s="206"/>
      <c r="AA2" s="147"/>
      <c r="AB2" s="204" t="s">
        <v>43</v>
      </c>
      <c r="AC2" s="205"/>
      <c r="AD2" s="205"/>
      <c r="AE2" s="205"/>
      <c r="AF2" s="205"/>
      <c r="AG2" s="205"/>
      <c r="AH2" s="206"/>
      <c r="AI2" s="147"/>
      <c r="AJ2" s="204" t="s">
        <v>39</v>
      </c>
      <c r="AK2" s="205"/>
      <c r="AL2" s="205"/>
      <c r="AM2" s="205"/>
      <c r="AN2" s="205"/>
      <c r="AO2" s="205"/>
      <c r="AP2" s="205"/>
      <c r="AQ2" s="206"/>
    </row>
    <row r="3" spans="1:43" ht="51" customHeight="1" x14ac:dyDescent="0.25">
      <c r="C3" s="188" t="s">
        <v>54</v>
      </c>
      <c r="D3" s="199" t="s">
        <v>75</v>
      </c>
      <c r="E3" s="189" t="s">
        <v>61</v>
      </c>
      <c r="F3" s="189" t="s">
        <v>60</v>
      </c>
      <c r="G3" s="189" t="s">
        <v>55</v>
      </c>
      <c r="H3" s="189" t="s">
        <v>56</v>
      </c>
      <c r="I3" s="189" t="s">
        <v>57</v>
      </c>
      <c r="J3" s="190" t="s">
        <v>58</v>
      </c>
      <c r="K3" s="201" t="s">
        <v>59</v>
      </c>
      <c r="L3" s="202" t="s">
        <v>36</v>
      </c>
      <c r="M3" s="148">
        <v>6.1</v>
      </c>
      <c r="N3" s="148">
        <v>8</v>
      </c>
      <c r="O3" s="148">
        <v>19.100000000000001</v>
      </c>
      <c r="P3" s="148"/>
      <c r="Q3" s="148" t="s">
        <v>45</v>
      </c>
      <c r="R3" s="203" t="s">
        <v>62</v>
      </c>
      <c r="S3" s="150"/>
      <c r="T3" s="202" t="s">
        <v>36</v>
      </c>
      <c r="U3" s="148">
        <v>1.1000000000000001</v>
      </c>
      <c r="V3" s="148">
        <v>12.2</v>
      </c>
      <c r="W3" s="148">
        <v>19.100000000000001</v>
      </c>
      <c r="X3" s="202"/>
      <c r="Y3" s="202"/>
      <c r="Z3" s="203" t="s">
        <v>62</v>
      </c>
      <c r="AA3" s="150"/>
      <c r="AB3" s="151" t="s">
        <v>44</v>
      </c>
      <c r="AC3" s="148"/>
      <c r="AD3" s="148"/>
      <c r="AE3" s="148"/>
      <c r="AF3" s="149"/>
      <c r="AG3" s="149"/>
      <c r="AH3" s="203" t="s">
        <v>62</v>
      </c>
      <c r="AI3" s="150"/>
      <c r="AJ3" s="148" t="s">
        <v>36</v>
      </c>
      <c r="AK3" s="148">
        <v>58.1</v>
      </c>
      <c r="AL3" s="148"/>
      <c r="AM3" s="148"/>
      <c r="AN3" s="148"/>
      <c r="AO3" s="148"/>
      <c r="AP3" s="148"/>
      <c r="AQ3" s="203" t="s">
        <v>62</v>
      </c>
    </row>
    <row r="4" spans="1:43" ht="21.75" customHeight="1" x14ac:dyDescent="0.25">
      <c r="A4" s="173" t="s">
        <v>30</v>
      </c>
      <c r="B4" s="194" t="s">
        <v>63</v>
      </c>
      <c r="C4" s="179">
        <v>8601</v>
      </c>
      <c r="D4" s="200" t="s">
        <v>76</v>
      </c>
      <c r="E4" s="172">
        <v>7961</v>
      </c>
      <c r="F4" s="172">
        <v>7971</v>
      </c>
      <c r="G4" s="176">
        <f t="shared" ref="G4:G49" si="0">F4-E4</f>
        <v>10</v>
      </c>
      <c r="H4" s="172">
        <v>117521</v>
      </c>
      <c r="I4" s="172">
        <v>117641</v>
      </c>
      <c r="J4" s="182">
        <f t="shared" ref="J4:J39" si="1">+I4-H4</f>
        <v>120</v>
      </c>
      <c r="K4" s="186">
        <f t="shared" ref="K4:K39" si="2">SUM(L4:Q4,T4:Y4,AJ4:AP4,AB4:AG4)</f>
        <v>4</v>
      </c>
      <c r="L4" s="161">
        <v>3</v>
      </c>
      <c r="M4" s="153"/>
      <c r="N4" s="153">
        <v>1</v>
      </c>
      <c r="O4" s="154"/>
      <c r="P4" s="154"/>
      <c r="Q4" s="154"/>
      <c r="R4" s="192">
        <f t="shared" ref="R4:R39" si="3">SUM(M4:P4)</f>
        <v>1</v>
      </c>
      <c r="S4" s="155"/>
      <c r="T4" s="156"/>
      <c r="U4" s="157"/>
      <c r="V4" s="157"/>
      <c r="W4" s="157"/>
      <c r="X4" s="158"/>
      <c r="Y4" s="158"/>
      <c r="Z4" s="192">
        <f>SUM(U4:Y4)</f>
        <v>0</v>
      </c>
      <c r="AA4" s="155"/>
      <c r="AB4" s="152"/>
      <c r="AC4" s="153"/>
      <c r="AD4" s="153"/>
      <c r="AE4" s="153"/>
      <c r="AF4" s="154"/>
      <c r="AG4" s="154"/>
      <c r="AH4" s="192">
        <f>SUM(AC4:AG4)</f>
        <v>0</v>
      </c>
      <c r="AI4" s="155"/>
      <c r="AJ4" s="152"/>
      <c r="AK4" s="153"/>
      <c r="AL4" s="154"/>
      <c r="AM4" s="153"/>
      <c r="AN4" s="154"/>
      <c r="AO4" s="154"/>
      <c r="AP4" s="154"/>
      <c r="AQ4" s="193">
        <f>SUM(AK4:AP4)</f>
        <v>0</v>
      </c>
    </row>
    <row r="5" spans="1:43" ht="21.75" customHeight="1" x14ac:dyDescent="0.25">
      <c r="A5" s="173" t="s">
        <v>31</v>
      </c>
      <c r="B5" s="194"/>
      <c r="C5" s="179">
        <v>8602</v>
      </c>
      <c r="D5" s="200" t="s">
        <v>77</v>
      </c>
      <c r="E5" s="172">
        <v>5964</v>
      </c>
      <c r="F5" s="172">
        <v>5975</v>
      </c>
      <c r="G5" s="176">
        <f t="shared" si="0"/>
        <v>11</v>
      </c>
      <c r="H5" s="172">
        <v>110550</v>
      </c>
      <c r="I5" s="172">
        <v>110640</v>
      </c>
      <c r="J5" s="182">
        <f t="shared" si="1"/>
        <v>90</v>
      </c>
      <c r="K5" s="186">
        <f t="shared" si="2"/>
        <v>8</v>
      </c>
      <c r="L5" s="161">
        <v>4</v>
      </c>
      <c r="M5" s="153">
        <v>1</v>
      </c>
      <c r="N5" s="153">
        <v>3</v>
      </c>
      <c r="O5" s="154"/>
      <c r="P5" s="154"/>
      <c r="Q5" s="154"/>
      <c r="R5" s="192">
        <f t="shared" si="3"/>
        <v>4</v>
      </c>
      <c r="S5" s="155"/>
      <c r="T5" s="156"/>
      <c r="U5" s="157"/>
      <c r="V5" s="157"/>
      <c r="W5" s="157"/>
      <c r="X5" s="158"/>
      <c r="Y5" s="158"/>
      <c r="Z5" s="192">
        <f t="shared" ref="Z5:Z39" si="4">SUM(U5:Y5)</f>
        <v>0</v>
      </c>
      <c r="AA5" s="155"/>
      <c r="AB5" s="152"/>
      <c r="AC5" s="153"/>
      <c r="AD5" s="153"/>
      <c r="AE5" s="153"/>
      <c r="AF5" s="154"/>
      <c r="AG5" s="154"/>
      <c r="AH5" s="192">
        <f t="shared" ref="AH5:AH39" si="5">SUM(AC5:AG5)</f>
        <v>0</v>
      </c>
      <c r="AI5" s="155"/>
      <c r="AJ5" s="152"/>
      <c r="AK5" s="153"/>
      <c r="AL5" s="154"/>
      <c r="AM5" s="153"/>
      <c r="AN5" s="154"/>
      <c r="AO5" s="154"/>
      <c r="AP5" s="154"/>
      <c r="AQ5" s="193">
        <f t="shared" ref="AQ5:AQ39" si="6">SUM(AK5:AP5)</f>
        <v>0</v>
      </c>
    </row>
    <row r="6" spans="1:43" ht="21.75" customHeight="1" x14ac:dyDescent="0.25">
      <c r="A6" s="173" t="s">
        <v>32</v>
      </c>
      <c r="B6" s="194"/>
      <c r="C6" s="179">
        <v>8603</v>
      </c>
      <c r="D6" s="200" t="s">
        <v>76</v>
      </c>
      <c r="E6" s="172">
        <v>7300</v>
      </c>
      <c r="F6" s="172">
        <v>7312</v>
      </c>
      <c r="G6" s="176">
        <f t="shared" si="0"/>
        <v>12</v>
      </c>
      <c r="H6" s="172">
        <v>117545</v>
      </c>
      <c r="I6" s="172">
        <v>117630</v>
      </c>
      <c r="J6" s="182">
        <f t="shared" si="1"/>
        <v>85</v>
      </c>
      <c r="K6" s="186">
        <f t="shared" si="2"/>
        <v>7</v>
      </c>
      <c r="L6" s="161">
        <v>4</v>
      </c>
      <c r="M6" s="153">
        <v>1</v>
      </c>
      <c r="N6" s="153">
        <v>2</v>
      </c>
      <c r="O6" s="154"/>
      <c r="P6" s="154"/>
      <c r="Q6" s="154"/>
      <c r="R6" s="192">
        <f t="shared" si="3"/>
        <v>3</v>
      </c>
      <c r="S6" s="155"/>
      <c r="T6" s="156"/>
      <c r="U6" s="157"/>
      <c r="V6" s="157"/>
      <c r="W6" s="157"/>
      <c r="X6" s="158"/>
      <c r="Y6" s="158"/>
      <c r="Z6" s="192">
        <f t="shared" si="4"/>
        <v>0</v>
      </c>
      <c r="AA6" s="155"/>
      <c r="AB6" s="152"/>
      <c r="AC6" s="153"/>
      <c r="AD6" s="153"/>
      <c r="AE6" s="153"/>
      <c r="AF6" s="154"/>
      <c r="AG6" s="154"/>
      <c r="AH6" s="192">
        <f t="shared" si="5"/>
        <v>0</v>
      </c>
      <c r="AI6" s="155"/>
      <c r="AJ6" s="152"/>
      <c r="AK6" s="153"/>
      <c r="AL6" s="154"/>
      <c r="AM6" s="153"/>
      <c r="AN6" s="154"/>
      <c r="AO6" s="154"/>
      <c r="AP6" s="154"/>
      <c r="AQ6" s="193">
        <f t="shared" si="6"/>
        <v>0</v>
      </c>
    </row>
    <row r="7" spans="1:43" ht="21.75" customHeight="1" x14ac:dyDescent="0.25">
      <c r="A7" s="173" t="s">
        <v>0</v>
      </c>
      <c r="B7" s="194"/>
      <c r="C7" s="179">
        <v>8604</v>
      </c>
      <c r="D7" s="200" t="s">
        <v>77</v>
      </c>
      <c r="E7" s="172">
        <v>9132</v>
      </c>
      <c r="F7" s="172">
        <v>9139</v>
      </c>
      <c r="G7" s="176">
        <f t="shared" si="0"/>
        <v>7</v>
      </c>
      <c r="H7" s="172">
        <v>94897</v>
      </c>
      <c r="I7" s="172">
        <v>94974</v>
      </c>
      <c r="J7" s="182">
        <f t="shared" si="1"/>
        <v>77</v>
      </c>
      <c r="K7" s="186">
        <f t="shared" si="2"/>
        <v>5</v>
      </c>
      <c r="L7" s="161"/>
      <c r="M7" s="153"/>
      <c r="N7" s="153"/>
      <c r="O7" s="154"/>
      <c r="P7" s="154"/>
      <c r="Q7" s="154"/>
      <c r="R7" s="192">
        <f t="shared" si="3"/>
        <v>0</v>
      </c>
      <c r="S7" s="155"/>
      <c r="T7" s="156">
        <v>1</v>
      </c>
      <c r="U7" s="157">
        <v>2</v>
      </c>
      <c r="V7" s="157">
        <v>2</v>
      </c>
      <c r="W7" s="157"/>
      <c r="X7" s="158"/>
      <c r="Y7" s="158"/>
      <c r="Z7" s="192">
        <f t="shared" si="4"/>
        <v>4</v>
      </c>
      <c r="AA7" s="155"/>
      <c r="AB7" s="152"/>
      <c r="AC7" s="153"/>
      <c r="AD7" s="153"/>
      <c r="AE7" s="153"/>
      <c r="AF7" s="154"/>
      <c r="AG7" s="154"/>
      <c r="AH7" s="192">
        <f t="shared" si="5"/>
        <v>0</v>
      </c>
      <c r="AI7" s="155"/>
      <c r="AJ7" s="152"/>
      <c r="AK7" s="153"/>
      <c r="AL7" s="154"/>
      <c r="AM7" s="153"/>
      <c r="AN7" s="154"/>
      <c r="AO7" s="154"/>
      <c r="AP7" s="154"/>
      <c r="AQ7" s="193">
        <f t="shared" si="6"/>
        <v>0</v>
      </c>
    </row>
    <row r="8" spans="1:43" ht="21.75" customHeight="1" x14ac:dyDescent="0.25">
      <c r="A8" s="173" t="s">
        <v>1</v>
      </c>
      <c r="B8" s="194"/>
      <c r="C8" s="179">
        <v>8605</v>
      </c>
      <c r="D8" s="200" t="s">
        <v>76</v>
      </c>
      <c r="E8" s="172">
        <v>2918</v>
      </c>
      <c r="F8" s="172">
        <v>2926</v>
      </c>
      <c r="G8" s="176">
        <f t="shared" si="0"/>
        <v>8</v>
      </c>
      <c r="H8" s="172">
        <v>38769</v>
      </c>
      <c r="I8" s="172">
        <v>38852</v>
      </c>
      <c r="J8" s="182">
        <f t="shared" si="1"/>
        <v>83</v>
      </c>
      <c r="K8" s="186">
        <f t="shared" si="2"/>
        <v>5</v>
      </c>
      <c r="L8" s="161">
        <v>3</v>
      </c>
      <c r="M8" s="153"/>
      <c r="N8" s="153">
        <v>2</v>
      </c>
      <c r="O8" s="154"/>
      <c r="P8" s="154"/>
      <c r="Q8" s="154"/>
      <c r="R8" s="192">
        <f t="shared" si="3"/>
        <v>2</v>
      </c>
      <c r="S8" s="155"/>
      <c r="T8" s="156"/>
      <c r="U8" s="157"/>
      <c r="V8" s="157"/>
      <c r="W8" s="157"/>
      <c r="X8" s="158"/>
      <c r="Y8" s="158"/>
      <c r="Z8" s="192">
        <f t="shared" si="4"/>
        <v>0</v>
      </c>
      <c r="AA8" s="155"/>
      <c r="AB8" s="152"/>
      <c r="AC8" s="153"/>
      <c r="AD8" s="153"/>
      <c r="AE8" s="153"/>
      <c r="AF8" s="154"/>
      <c r="AG8" s="154"/>
      <c r="AH8" s="192">
        <f t="shared" si="5"/>
        <v>0</v>
      </c>
      <c r="AI8" s="155"/>
      <c r="AJ8" s="152"/>
      <c r="AK8" s="153"/>
      <c r="AL8" s="154"/>
      <c r="AM8" s="153"/>
      <c r="AN8" s="154"/>
      <c r="AO8" s="154"/>
      <c r="AP8" s="154"/>
      <c r="AQ8" s="193">
        <f t="shared" si="6"/>
        <v>0</v>
      </c>
    </row>
    <row r="9" spans="1:43" ht="21.75" customHeight="1" x14ac:dyDescent="0.25">
      <c r="A9" s="173" t="s">
        <v>2</v>
      </c>
      <c r="B9" s="194"/>
      <c r="C9" s="179">
        <v>8606</v>
      </c>
      <c r="D9" s="200" t="s">
        <v>77</v>
      </c>
      <c r="E9" s="172">
        <v>10251</v>
      </c>
      <c r="F9" s="172">
        <v>10263</v>
      </c>
      <c r="G9" s="176">
        <f t="shared" si="0"/>
        <v>12</v>
      </c>
      <c r="H9" s="172">
        <v>127426</v>
      </c>
      <c r="I9" s="172">
        <v>127554</v>
      </c>
      <c r="J9" s="182">
        <f t="shared" si="1"/>
        <v>128</v>
      </c>
      <c r="K9" s="186">
        <f t="shared" si="2"/>
        <v>6</v>
      </c>
      <c r="L9" s="161">
        <v>2</v>
      </c>
      <c r="M9" s="153"/>
      <c r="N9" s="153"/>
      <c r="O9" s="154"/>
      <c r="P9" s="154"/>
      <c r="Q9" s="154"/>
      <c r="R9" s="192">
        <f t="shared" si="3"/>
        <v>0</v>
      </c>
      <c r="S9" s="155"/>
      <c r="T9" s="156"/>
      <c r="U9" s="157"/>
      <c r="V9" s="157"/>
      <c r="W9" s="157"/>
      <c r="X9" s="158"/>
      <c r="Y9" s="158"/>
      <c r="Z9" s="192">
        <f t="shared" si="4"/>
        <v>0</v>
      </c>
      <c r="AA9" s="155"/>
      <c r="AB9" s="152"/>
      <c r="AC9" s="153"/>
      <c r="AD9" s="153"/>
      <c r="AE9" s="153"/>
      <c r="AF9" s="154"/>
      <c r="AG9" s="154"/>
      <c r="AH9" s="192">
        <f t="shared" si="5"/>
        <v>0</v>
      </c>
      <c r="AI9" s="155"/>
      <c r="AJ9" s="152">
        <v>4</v>
      </c>
      <c r="AK9" s="153"/>
      <c r="AL9" s="154"/>
      <c r="AM9" s="153"/>
      <c r="AN9" s="154"/>
      <c r="AO9" s="154"/>
      <c r="AP9" s="154"/>
      <c r="AQ9" s="193">
        <f t="shared" si="6"/>
        <v>0</v>
      </c>
    </row>
    <row r="10" spans="1:43" ht="21.75" customHeight="1" x14ac:dyDescent="0.25">
      <c r="A10" s="173" t="s">
        <v>3</v>
      </c>
      <c r="B10" s="194"/>
      <c r="C10" s="179">
        <v>8607</v>
      </c>
      <c r="D10" s="200" t="s">
        <v>76</v>
      </c>
      <c r="E10" s="172">
        <v>8872</v>
      </c>
      <c r="F10" s="172">
        <v>8882</v>
      </c>
      <c r="G10" s="176">
        <f t="shared" si="0"/>
        <v>10</v>
      </c>
      <c r="H10" s="172">
        <v>85316</v>
      </c>
      <c r="I10" s="172">
        <v>85430</v>
      </c>
      <c r="J10" s="182">
        <f t="shared" si="1"/>
        <v>114</v>
      </c>
      <c r="K10" s="186">
        <f t="shared" si="2"/>
        <v>9</v>
      </c>
      <c r="L10" s="161">
        <v>5</v>
      </c>
      <c r="M10" s="153"/>
      <c r="N10" s="153">
        <v>1</v>
      </c>
      <c r="O10" s="154">
        <v>1</v>
      </c>
      <c r="P10" s="154"/>
      <c r="Q10" s="154"/>
      <c r="R10" s="192">
        <f t="shared" si="3"/>
        <v>2</v>
      </c>
      <c r="S10" s="155"/>
      <c r="T10" s="156">
        <v>1</v>
      </c>
      <c r="U10" s="157"/>
      <c r="V10" s="157"/>
      <c r="W10" s="157"/>
      <c r="X10" s="158"/>
      <c r="Y10" s="158"/>
      <c r="Z10" s="192">
        <f t="shared" si="4"/>
        <v>0</v>
      </c>
      <c r="AA10" s="155"/>
      <c r="AB10" s="152"/>
      <c r="AC10" s="153"/>
      <c r="AD10" s="153"/>
      <c r="AE10" s="153"/>
      <c r="AF10" s="154"/>
      <c r="AG10" s="154"/>
      <c r="AH10" s="192">
        <f t="shared" si="5"/>
        <v>0</v>
      </c>
      <c r="AI10" s="155"/>
      <c r="AJ10" s="152">
        <v>1</v>
      </c>
      <c r="AK10" s="153"/>
      <c r="AL10" s="154"/>
      <c r="AM10" s="153"/>
      <c r="AN10" s="154"/>
      <c r="AO10" s="154"/>
      <c r="AP10" s="154"/>
      <c r="AQ10" s="193">
        <f t="shared" si="6"/>
        <v>0</v>
      </c>
    </row>
    <row r="11" spans="1:43" ht="21.75" customHeight="1" x14ac:dyDescent="0.25">
      <c r="A11" s="173" t="s">
        <v>4</v>
      </c>
      <c r="B11" s="194"/>
      <c r="C11" s="179">
        <v>8608</v>
      </c>
      <c r="D11" s="200" t="s">
        <v>77</v>
      </c>
      <c r="E11" s="172">
        <v>10225</v>
      </c>
      <c r="F11" s="172">
        <v>10236</v>
      </c>
      <c r="G11" s="176">
        <f t="shared" si="0"/>
        <v>11</v>
      </c>
      <c r="H11" s="172">
        <v>134116</v>
      </c>
      <c r="I11" s="172">
        <v>134251</v>
      </c>
      <c r="J11" s="182">
        <f t="shared" si="1"/>
        <v>135</v>
      </c>
      <c r="K11" s="186">
        <f t="shared" si="2"/>
        <v>8</v>
      </c>
      <c r="L11" s="184">
        <v>4</v>
      </c>
      <c r="M11" s="153">
        <v>1</v>
      </c>
      <c r="N11" s="153">
        <v>3</v>
      </c>
      <c r="O11" s="154"/>
      <c r="P11" s="154"/>
      <c r="Q11" s="154"/>
      <c r="R11" s="192">
        <f t="shared" si="3"/>
        <v>4</v>
      </c>
      <c r="S11" s="155"/>
      <c r="T11" s="156"/>
      <c r="U11" s="157"/>
      <c r="V11" s="157"/>
      <c r="W11" s="157"/>
      <c r="X11" s="158"/>
      <c r="Y11" s="158"/>
      <c r="Z11" s="192">
        <f t="shared" si="4"/>
        <v>0</v>
      </c>
      <c r="AA11" s="155"/>
      <c r="AB11" s="152"/>
      <c r="AC11" s="153"/>
      <c r="AD11" s="153"/>
      <c r="AE11" s="153"/>
      <c r="AF11" s="154"/>
      <c r="AG11" s="154"/>
      <c r="AH11" s="192">
        <f t="shared" si="5"/>
        <v>0</v>
      </c>
      <c r="AI11" s="155"/>
      <c r="AJ11" s="152"/>
      <c r="AK11" s="153"/>
      <c r="AL11" s="154"/>
      <c r="AM11" s="153"/>
      <c r="AN11" s="154"/>
      <c r="AO11" s="154"/>
      <c r="AP11" s="154"/>
      <c r="AQ11" s="193">
        <f t="shared" si="6"/>
        <v>0</v>
      </c>
    </row>
    <row r="12" spans="1:43" ht="21.75" customHeight="1" x14ac:dyDescent="0.25">
      <c r="A12" s="173" t="s">
        <v>5</v>
      </c>
      <c r="B12" s="194"/>
      <c r="C12" s="179">
        <v>8609</v>
      </c>
      <c r="D12" s="200" t="s">
        <v>76</v>
      </c>
      <c r="E12" s="172">
        <v>10975</v>
      </c>
      <c r="F12" s="172">
        <v>10987</v>
      </c>
      <c r="G12" s="176">
        <f t="shared" si="0"/>
        <v>12</v>
      </c>
      <c r="H12" s="172">
        <v>143966</v>
      </c>
      <c r="I12" s="172">
        <v>144128</v>
      </c>
      <c r="J12" s="182">
        <f t="shared" si="1"/>
        <v>162</v>
      </c>
      <c r="K12" s="186">
        <f t="shared" si="2"/>
        <v>9</v>
      </c>
      <c r="L12" s="161">
        <v>6</v>
      </c>
      <c r="M12" s="153"/>
      <c r="N12" s="153">
        <v>3</v>
      </c>
      <c r="O12" s="154"/>
      <c r="P12" s="154"/>
      <c r="Q12" s="154"/>
      <c r="R12" s="192">
        <f t="shared" si="3"/>
        <v>3</v>
      </c>
      <c r="S12" s="155"/>
      <c r="T12" s="156"/>
      <c r="U12" s="157"/>
      <c r="V12" s="157"/>
      <c r="W12" s="157"/>
      <c r="X12" s="158"/>
      <c r="Y12" s="158"/>
      <c r="Z12" s="192">
        <f t="shared" si="4"/>
        <v>0</v>
      </c>
      <c r="AA12" s="155"/>
      <c r="AB12" s="152"/>
      <c r="AC12" s="153"/>
      <c r="AD12" s="153"/>
      <c r="AE12" s="153"/>
      <c r="AF12" s="154"/>
      <c r="AG12" s="154"/>
      <c r="AH12" s="192">
        <f t="shared" si="5"/>
        <v>0</v>
      </c>
      <c r="AI12" s="155"/>
      <c r="AJ12" s="152"/>
      <c r="AK12" s="153"/>
      <c r="AL12" s="154"/>
      <c r="AM12" s="153"/>
      <c r="AN12" s="154"/>
      <c r="AO12" s="154"/>
      <c r="AP12" s="154"/>
      <c r="AQ12" s="193">
        <f t="shared" si="6"/>
        <v>0</v>
      </c>
    </row>
    <row r="13" spans="1:43" ht="21.75" customHeight="1" x14ac:dyDescent="0.25">
      <c r="A13" s="173" t="s">
        <v>6</v>
      </c>
      <c r="B13" s="194"/>
      <c r="C13" s="179">
        <v>8610</v>
      </c>
      <c r="D13" s="200" t="s">
        <v>77</v>
      </c>
      <c r="E13" s="172">
        <v>6450</v>
      </c>
      <c r="F13" s="172">
        <v>6461</v>
      </c>
      <c r="G13" s="176">
        <f t="shared" si="0"/>
        <v>11</v>
      </c>
      <c r="H13" s="172">
        <v>26757</v>
      </c>
      <c r="I13" s="172">
        <v>26860</v>
      </c>
      <c r="J13" s="182">
        <f t="shared" si="1"/>
        <v>103</v>
      </c>
      <c r="K13" s="186">
        <f t="shared" si="2"/>
        <v>9</v>
      </c>
      <c r="L13" s="161">
        <v>5</v>
      </c>
      <c r="M13" s="153">
        <v>1</v>
      </c>
      <c r="N13" s="153">
        <v>1</v>
      </c>
      <c r="O13" s="154"/>
      <c r="P13" s="154"/>
      <c r="Q13" s="154"/>
      <c r="R13" s="192">
        <f t="shared" si="3"/>
        <v>2</v>
      </c>
      <c r="S13" s="155"/>
      <c r="T13" s="156"/>
      <c r="U13" s="157"/>
      <c r="V13" s="157"/>
      <c r="W13" s="157"/>
      <c r="X13" s="158"/>
      <c r="Y13" s="158"/>
      <c r="Z13" s="192">
        <f t="shared" si="4"/>
        <v>0</v>
      </c>
      <c r="AA13" s="155"/>
      <c r="AB13" s="152"/>
      <c r="AC13" s="153"/>
      <c r="AD13" s="153"/>
      <c r="AE13" s="153"/>
      <c r="AF13" s="154"/>
      <c r="AG13" s="154"/>
      <c r="AH13" s="192">
        <f t="shared" si="5"/>
        <v>0</v>
      </c>
      <c r="AI13" s="155"/>
      <c r="AJ13" s="152">
        <v>2</v>
      </c>
      <c r="AK13" s="153"/>
      <c r="AL13" s="154"/>
      <c r="AM13" s="153"/>
      <c r="AN13" s="154"/>
      <c r="AO13" s="154"/>
      <c r="AP13" s="154"/>
      <c r="AQ13" s="193">
        <f t="shared" si="6"/>
        <v>0</v>
      </c>
    </row>
    <row r="14" spans="1:43" ht="21.75" customHeight="1" x14ac:dyDescent="0.25">
      <c r="A14" s="173" t="s">
        <v>7</v>
      </c>
      <c r="B14" s="194"/>
      <c r="C14" s="179">
        <v>8611</v>
      </c>
      <c r="D14" s="200" t="s">
        <v>76</v>
      </c>
      <c r="E14" s="172"/>
      <c r="F14" s="172"/>
      <c r="G14" s="176">
        <f t="shared" si="0"/>
        <v>0</v>
      </c>
      <c r="H14" s="172"/>
      <c r="I14" s="172"/>
      <c r="J14" s="182">
        <f t="shared" si="1"/>
        <v>0</v>
      </c>
      <c r="K14" s="186">
        <f t="shared" si="2"/>
        <v>0</v>
      </c>
      <c r="L14" s="161"/>
      <c r="M14" s="153"/>
      <c r="N14" s="153"/>
      <c r="O14" s="154"/>
      <c r="P14" s="154"/>
      <c r="Q14" s="154"/>
      <c r="R14" s="192">
        <f t="shared" si="3"/>
        <v>0</v>
      </c>
      <c r="S14" s="155"/>
      <c r="T14" s="156"/>
      <c r="U14" s="157"/>
      <c r="V14" s="157"/>
      <c r="W14" s="157"/>
      <c r="X14" s="158"/>
      <c r="Y14" s="158"/>
      <c r="Z14" s="192">
        <f t="shared" si="4"/>
        <v>0</v>
      </c>
      <c r="AA14" s="155"/>
      <c r="AB14" s="152"/>
      <c r="AC14" s="153"/>
      <c r="AD14" s="153"/>
      <c r="AE14" s="153"/>
      <c r="AF14" s="154"/>
      <c r="AG14" s="154"/>
      <c r="AH14" s="192">
        <f t="shared" si="5"/>
        <v>0</v>
      </c>
      <c r="AI14" s="155"/>
      <c r="AJ14" s="152"/>
      <c r="AK14" s="153"/>
      <c r="AL14" s="154"/>
      <c r="AM14" s="153"/>
      <c r="AN14" s="154"/>
      <c r="AO14" s="154"/>
      <c r="AP14" s="154"/>
      <c r="AQ14" s="193">
        <f t="shared" si="6"/>
        <v>0</v>
      </c>
    </row>
    <row r="15" spans="1:43" ht="21.75" customHeight="1" x14ac:dyDescent="0.25">
      <c r="A15" s="173" t="s">
        <v>8</v>
      </c>
      <c r="B15" s="194"/>
      <c r="C15" s="179">
        <v>8612</v>
      </c>
      <c r="D15" s="200" t="s">
        <v>77</v>
      </c>
      <c r="E15" s="172"/>
      <c r="F15" s="172"/>
      <c r="G15" s="176">
        <f t="shared" si="0"/>
        <v>0</v>
      </c>
      <c r="H15" s="172"/>
      <c r="I15" s="172"/>
      <c r="J15" s="182">
        <f t="shared" si="1"/>
        <v>0</v>
      </c>
      <c r="K15" s="186">
        <f t="shared" si="2"/>
        <v>0</v>
      </c>
      <c r="L15" s="161"/>
      <c r="M15" s="153"/>
      <c r="N15" s="153"/>
      <c r="O15" s="154"/>
      <c r="P15" s="154"/>
      <c r="Q15" s="154"/>
      <c r="R15" s="192">
        <f t="shared" si="3"/>
        <v>0</v>
      </c>
      <c r="S15" s="155"/>
      <c r="T15" s="156"/>
      <c r="U15" s="157"/>
      <c r="V15" s="157"/>
      <c r="W15" s="157"/>
      <c r="X15" s="158"/>
      <c r="Y15" s="158"/>
      <c r="Z15" s="192">
        <f t="shared" si="4"/>
        <v>0</v>
      </c>
      <c r="AA15" s="155"/>
      <c r="AB15" s="152"/>
      <c r="AC15" s="153"/>
      <c r="AD15" s="153"/>
      <c r="AE15" s="153"/>
      <c r="AF15" s="154"/>
      <c r="AG15" s="154"/>
      <c r="AH15" s="192">
        <f>SUM(AC15:AG15)</f>
        <v>0</v>
      </c>
      <c r="AI15" s="155"/>
      <c r="AJ15" s="152"/>
      <c r="AK15" s="153"/>
      <c r="AL15" s="154"/>
      <c r="AM15" s="153"/>
      <c r="AN15" s="154"/>
      <c r="AO15" s="154"/>
      <c r="AP15" s="154"/>
      <c r="AQ15" s="193">
        <f t="shared" si="6"/>
        <v>0</v>
      </c>
    </row>
    <row r="16" spans="1:43" ht="21.75" customHeight="1" x14ac:dyDescent="0.25">
      <c r="A16" s="173" t="s">
        <v>9</v>
      </c>
      <c r="B16" s="194"/>
      <c r="C16" s="179">
        <v>8613</v>
      </c>
      <c r="D16" s="200" t="s">
        <v>76</v>
      </c>
      <c r="E16" s="172">
        <v>10770</v>
      </c>
      <c r="F16" s="172">
        <v>10781</v>
      </c>
      <c r="G16" s="176">
        <f t="shared" si="0"/>
        <v>11</v>
      </c>
      <c r="H16" s="172">
        <v>93415</v>
      </c>
      <c r="I16" s="172">
        <v>93530</v>
      </c>
      <c r="J16" s="182">
        <f t="shared" si="1"/>
        <v>115</v>
      </c>
      <c r="K16" s="186">
        <f t="shared" si="2"/>
        <v>7</v>
      </c>
      <c r="L16" s="161">
        <v>4</v>
      </c>
      <c r="M16" s="153">
        <v>1</v>
      </c>
      <c r="N16" s="153"/>
      <c r="O16" s="154"/>
      <c r="P16" s="154"/>
      <c r="Q16" s="154"/>
      <c r="R16" s="192">
        <f t="shared" si="3"/>
        <v>1</v>
      </c>
      <c r="S16" s="155"/>
      <c r="T16" s="156"/>
      <c r="U16" s="157"/>
      <c r="V16" s="157"/>
      <c r="W16" s="157"/>
      <c r="X16" s="158"/>
      <c r="Y16" s="158"/>
      <c r="Z16" s="192">
        <f t="shared" si="4"/>
        <v>0</v>
      </c>
      <c r="AA16" s="155"/>
      <c r="AB16" s="152"/>
      <c r="AC16" s="153"/>
      <c r="AD16" s="153"/>
      <c r="AE16" s="153"/>
      <c r="AF16" s="154"/>
      <c r="AG16" s="154"/>
      <c r="AH16" s="192">
        <f t="shared" si="5"/>
        <v>0</v>
      </c>
      <c r="AI16" s="155"/>
      <c r="AJ16" s="152">
        <v>2</v>
      </c>
      <c r="AK16" s="153"/>
      <c r="AL16" s="154"/>
      <c r="AM16" s="153"/>
      <c r="AN16" s="154"/>
      <c r="AO16" s="154"/>
      <c r="AP16" s="154"/>
      <c r="AQ16" s="193">
        <f t="shared" si="6"/>
        <v>0</v>
      </c>
    </row>
    <row r="17" spans="1:43" ht="21.75" customHeight="1" x14ac:dyDescent="0.25">
      <c r="A17" s="173" t="s">
        <v>10</v>
      </c>
      <c r="B17" s="194"/>
      <c r="C17" s="179">
        <v>8614</v>
      </c>
      <c r="D17" s="200" t="s">
        <v>77</v>
      </c>
      <c r="E17" s="172">
        <v>8625</v>
      </c>
      <c r="F17" s="172">
        <v>8637</v>
      </c>
      <c r="G17" s="176">
        <f t="shared" si="0"/>
        <v>12</v>
      </c>
      <c r="H17" s="172">
        <v>119140</v>
      </c>
      <c r="I17" s="172">
        <v>119288</v>
      </c>
      <c r="J17" s="182">
        <f t="shared" si="1"/>
        <v>148</v>
      </c>
      <c r="K17" s="186">
        <f t="shared" si="2"/>
        <v>11</v>
      </c>
      <c r="L17" s="161"/>
      <c r="M17" s="153"/>
      <c r="N17" s="153"/>
      <c r="O17" s="154"/>
      <c r="P17" s="154"/>
      <c r="Q17" s="154"/>
      <c r="R17" s="192">
        <f t="shared" si="3"/>
        <v>0</v>
      </c>
      <c r="S17" s="155"/>
      <c r="T17" s="156">
        <v>3</v>
      </c>
      <c r="U17" s="157">
        <v>3</v>
      </c>
      <c r="V17" s="157">
        <v>4</v>
      </c>
      <c r="W17" s="157">
        <v>1</v>
      </c>
      <c r="X17" s="158"/>
      <c r="Y17" s="158"/>
      <c r="Z17" s="192">
        <f t="shared" si="4"/>
        <v>8</v>
      </c>
      <c r="AA17" s="155"/>
      <c r="AB17" s="152"/>
      <c r="AC17" s="153"/>
      <c r="AD17" s="153"/>
      <c r="AE17" s="153"/>
      <c r="AF17" s="154"/>
      <c r="AG17" s="154"/>
      <c r="AH17" s="192">
        <f t="shared" si="5"/>
        <v>0</v>
      </c>
      <c r="AI17" s="155"/>
      <c r="AJ17" s="152"/>
      <c r="AK17" s="153"/>
      <c r="AL17" s="153"/>
      <c r="AM17" s="153"/>
      <c r="AN17" s="154"/>
      <c r="AO17" s="154"/>
      <c r="AP17" s="154"/>
      <c r="AQ17" s="193">
        <f t="shared" si="6"/>
        <v>0</v>
      </c>
    </row>
    <row r="18" spans="1:43" ht="21.75" customHeight="1" x14ac:dyDescent="0.25">
      <c r="A18" s="173" t="s">
        <v>11</v>
      </c>
      <c r="B18" s="194"/>
      <c r="C18" s="179">
        <v>8615</v>
      </c>
      <c r="D18" s="200" t="s">
        <v>76</v>
      </c>
      <c r="E18" s="172"/>
      <c r="F18" s="172"/>
      <c r="G18" s="176">
        <f t="shared" si="0"/>
        <v>0</v>
      </c>
      <c r="H18" s="172"/>
      <c r="I18" s="172"/>
      <c r="J18" s="182">
        <f t="shared" si="1"/>
        <v>0</v>
      </c>
      <c r="K18" s="186">
        <f t="shared" si="2"/>
        <v>0</v>
      </c>
      <c r="L18" s="161"/>
      <c r="M18" s="153"/>
      <c r="N18" s="153"/>
      <c r="O18" s="154"/>
      <c r="P18" s="154"/>
      <c r="Q18" s="154"/>
      <c r="R18" s="192">
        <f t="shared" si="3"/>
        <v>0</v>
      </c>
      <c r="S18" s="155"/>
      <c r="T18" s="156"/>
      <c r="U18" s="157"/>
      <c r="V18" s="157"/>
      <c r="W18" s="157"/>
      <c r="X18" s="158"/>
      <c r="Y18" s="158"/>
      <c r="Z18" s="192">
        <f t="shared" si="4"/>
        <v>0</v>
      </c>
      <c r="AA18" s="155"/>
      <c r="AB18" s="152"/>
      <c r="AC18" s="153"/>
      <c r="AD18" s="153"/>
      <c r="AE18" s="153"/>
      <c r="AF18" s="154"/>
      <c r="AG18" s="154"/>
      <c r="AH18" s="192">
        <f t="shared" si="5"/>
        <v>0</v>
      </c>
      <c r="AI18" s="155"/>
      <c r="AJ18" s="152"/>
      <c r="AK18" s="153"/>
      <c r="AL18" s="153"/>
      <c r="AM18" s="153"/>
      <c r="AN18" s="154"/>
      <c r="AO18" s="154"/>
      <c r="AP18" s="154"/>
      <c r="AQ18" s="193">
        <f t="shared" si="6"/>
        <v>0</v>
      </c>
    </row>
    <row r="19" spans="1:43" ht="21.75" customHeight="1" x14ac:dyDescent="0.25">
      <c r="A19" s="173" t="s">
        <v>12</v>
      </c>
      <c r="B19" s="194"/>
      <c r="C19" s="179">
        <v>8616</v>
      </c>
      <c r="D19" s="200" t="s">
        <v>77</v>
      </c>
      <c r="E19" s="172">
        <v>10034</v>
      </c>
      <c r="F19" s="172">
        <v>10044</v>
      </c>
      <c r="G19" s="176">
        <f t="shared" si="0"/>
        <v>10</v>
      </c>
      <c r="H19" s="172">
        <v>82570</v>
      </c>
      <c r="I19" s="172">
        <v>82700</v>
      </c>
      <c r="J19" s="182">
        <f t="shared" si="1"/>
        <v>130</v>
      </c>
      <c r="K19" s="186">
        <f t="shared" si="2"/>
        <v>9</v>
      </c>
      <c r="L19" s="161">
        <v>4</v>
      </c>
      <c r="M19" s="153">
        <v>3</v>
      </c>
      <c r="N19" s="153">
        <v>2</v>
      </c>
      <c r="O19" s="154"/>
      <c r="P19" s="154"/>
      <c r="Q19" s="154"/>
      <c r="R19" s="192">
        <f t="shared" si="3"/>
        <v>5</v>
      </c>
      <c r="S19" s="155"/>
      <c r="T19" s="156"/>
      <c r="U19" s="157"/>
      <c r="V19" s="157"/>
      <c r="W19" s="157"/>
      <c r="X19" s="158"/>
      <c r="Y19" s="158"/>
      <c r="Z19" s="192">
        <f t="shared" si="4"/>
        <v>0</v>
      </c>
      <c r="AA19" s="155"/>
      <c r="AB19" s="152"/>
      <c r="AC19" s="153"/>
      <c r="AD19" s="153"/>
      <c r="AE19" s="153"/>
      <c r="AF19" s="154"/>
      <c r="AG19" s="154"/>
      <c r="AH19" s="192">
        <f t="shared" si="5"/>
        <v>0</v>
      </c>
      <c r="AI19" s="155"/>
      <c r="AJ19" s="152"/>
      <c r="AK19" s="153"/>
      <c r="AL19" s="153"/>
      <c r="AM19" s="153"/>
      <c r="AN19" s="154"/>
      <c r="AO19" s="154"/>
      <c r="AP19" s="154"/>
      <c r="AQ19" s="193">
        <f t="shared" si="6"/>
        <v>0</v>
      </c>
    </row>
    <row r="20" spans="1:43" ht="21.75" customHeight="1" x14ac:dyDescent="0.25">
      <c r="A20" s="173" t="s">
        <v>13</v>
      </c>
      <c r="B20" s="194"/>
      <c r="C20" s="179">
        <v>8617</v>
      </c>
      <c r="D20" s="200" t="s">
        <v>76</v>
      </c>
      <c r="E20" s="172">
        <v>9178</v>
      </c>
      <c r="F20" s="172">
        <v>9188</v>
      </c>
      <c r="G20" s="176">
        <f t="shared" si="0"/>
        <v>10</v>
      </c>
      <c r="H20" s="172">
        <v>112000</v>
      </c>
      <c r="I20" s="172">
        <v>112111</v>
      </c>
      <c r="J20" s="182">
        <f t="shared" si="1"/>
        <v>111</v>
      </c>
      <c r="K20" s="186">
        <f t="shared" si="2"/>
        <v>8</v>
      </c>
      <c r="L20" s="161"/>
      <c r="M20" s="153"/>
      <c r="N20" s="153"/>
      <c r="O20" s="154"/>
      <c r="P20" s="154"/>
      <c r="Q20" s="154"/>
      <c r="R20" s="192">
        <f t="shared" si="3"/>
        <v>0</v>
      </c>
      <c r="S20" s="155"/>
      <c r="T20" s="156">
        <v>3</v>
      </c>
      <c r="U20" s="157">
        <v>3</v>
      </c>
      <c r="V20" s="157">
        <v>2</v>
      </c>
      <c r="W20" s="157"/>
      <c r="X20" s="158"/>
      <c r="Y20" s="158"/>
      <c r="Z20" s="192">
        <f t="shared" si="4"/>
        <v>5</v>
      </c>
      <c r="AA20" s="155"/>
      <c r="AB20" s="152"/>
      <c r="AC20" s="153"/>
      <c r="AD20" s="153"/>
      <c r="AE20" s="153"/>
      <c r="AF20" s="154"/>
      <c r="AG20" s="154"/>
      <c r="AH20" s="192">
        <f t="shared" si="5"/>
        <v>0</v>
      </c>
      <c r="AI20" s="155"/>
      <c r="AJ20" s="152"/>
      <c r="AK20" s="153"/>
      <c r="AL20" s="153"/>
      <c r="AM20" s="153"/>
      <c r="AN20" s="154"/>
      <c r="AO20" s="154"/>
      <c r="AP20" s="154"/>
      <c r="AQ20" s="193">
        <f t="shared" si="6"/>
        <v>0</v>
      </c>
    </row>
    <row r="21" spans="1:43" ht="21.75" customHeight="1" x14ac:dyDescent="0.25">
      <c r="A21" s="173" t="s">
        <v>14</v>
      </c>
      <c r="B21" s="194"/>
      <c r="C21" s="179">
        <v>8618</v>
      </c>
      <c r="D21" s="200" t="s">
        <v>77</v>
      </c>
      <c r="E21" s="172"/>
      <c r="F21" s="172"/>
      <c r="G21" s="176">
        <f t="shared" si="0"/>
        <v>0</v>
      </c>
      <c r="H21" s="172"/>
      <c r="I21" s="172"/>
      <c r="J21" s="182">
        <f t="shared" si="1"/>
        <v>0</v>
      </c>
      <c r="K21" s="186">
        <f t="shared" si="2"/>
        <v>0</v>
      </c>
      <c r="L21" s="161"/>
      <c r="M21" s="153"/>
      <c r="N21" s="153"/>
      <c r="O21" s="154"/>
      <c r="P21" s="154"/>
      <c r="Q21" s="154"/>
      <c r="R21" s="192">
        <f t="shared" si="3"/>
        <v>0</v>
      </c>
      <c r="S21" s="155"/>
      <c r="T21" s="156"/>
      <c r="U21" s="157"/>
      <c r="V21" s="157"/>
      <c r="W21" s="157"/>
      <c r="X21" s="158"/>
      <c r="Y21" s="158"/>
      <c r="Z21" s="192">
        <f t="shared" si="4"/>
        <v>0</v>
      </c>
      <c r="AA21" s="155"/>
      <c r="AB21" s="152"/>
      <c r="AC21" s="153"/>
      <c r="AD21" s="153"/>
      <c r="AE21" s="153"/>
      <c r="AF21" s="154"/>
      <c r="AG21" s="154"/>
      <c r="AH21" s="192">
        <f t="shared" si="5"/>
        <v>0</v>
      </c>
      <c r="AI21" s="155"/>
      <c r="AJ21" s="152"/>
      <c r="AK21" s="153"/>
      <c r="AL21" s="153"/>
      <c r="AM21" s="153"/>
      <c r="AN21" s="154"/>
      <c r="AO21" s="154"/>
      <c r="AP21" s="154"/>
      <c r="AQ21" s="193">
        <f t="shared" si="6"/>
        <v>0</v>
      </c>
    </row>
    <row r="22" spans="1:43" ht="21.75" customHeight="1" x14ac:dyDescent="0.25">
      <c r="A22" s="173" t="s">
        <v>15</v>
      </c>
      <c r="B22" s="194"/>
      <c r="C22" s="179">
        <v>8619</v>
      </c>
      <c r="D22" s="200" t="s">
        <v>76</v>
      </c>
      <c r="E22" s="172">
        <v>10470</v>
      </c>
      <c r="F22" s="172">
        <v>10482</v>
      </c>
      <c r="G22" s="176">
        <f t="shared" si="0"/>
        <v>12</v>
      </c>
      <c r="H22" s="172">
        <v>113718</v>
      </c>
      <c r="I22" s="172">
        <v>113850</v>
      </c>
      <c r="J22" s="182">
        <f t="shared" si="1"/>
        <v>132</v>
      </c>
      <c r="K22" s="186">
        <f t="shared" si="2"/>
        <v>11</v>
      </c>
      <c r="L22" s="161"/>
      <c r="M22" s="153"/>
      <c r="N22" s="153"/>
      <c r="O22" s="154"/>
      <c r="P22" s="154"/>
      <c r="Q22" s="154"/>
      <c r="R22" s="192">
        <f t="shared" si="3"/>
        <v>0</v>
      </c>
      <c r="S22" s="155"/>
      <c r="T22" s="156">
        <v>3</v>
      </c>
      <c r="U22" s="157">
        <v>3</v>
      </c>
      <c r="V22" s="157">
        <v>5</v>
      </c>
      <c r="W22" s="157"/>
      <c r="X22" s="158"/>
      <c r="Y22" s="158"/>
      <c r="Z22" s="192">
        <f t="shared" si="4"/>
        <v>8</v>
      </c>
      <c r="AA22" s="155"/>
      <c r="AB22" s="152"/>
      <c r="AC22" s="153"/>
      <c r="AD22" s="153"/>
      <c r="AE22" s="153"/>
      <c r="AF22" s="154"/>
      <c r="AG22" s="154"/>
      <c r="AH22" s="192">
        <f t="shared" si="5"/>
        <v>0</v>
      </c>
      <c r="AI22" s="155"/>
      <c r="AJ22" s="152"/>
      <c r="AK22" s="153"/>
      <c r="AL22" s="153"/>
      <c r="AM22" s="153"/>
      <c r="AN22" s="154"/>
      <c r="AO22" s="154"/>
      <c r="AP22" s="154"/>
      <c r="AQ22" s="193">
        <f t="shared" si="6"/>
        <v>0</v>
      </c>
    </row>
    <row r="23" spans="1:43" ht="21.75" customHeight="1" x14ac:dyDescent="0.25">
      <c r="A23" s="173" t="s">
        <v>16</v>
      </c>
      <c r="B23" s="194"/>
      <c r="C23" s="179">
        <v>8620</v>
      </c>
      <c r="D23" s="200" t="s">
        <v>77</v>
      </c>
      <c r="E23" s="172">
        <v>10351</v>
      </c>
      <c r="F23" s="172">
        <v>10361</v>
      </c>
      <c r="G23" s="176">
        <f t="shared" si="0"/>
        <v>10</v>
      </c>
      <c r="H23" s="172">
        <v>139961</v>
      </c>
      <c r="I23" s="172">
        <v>140047</v>
      </c>
      <c r="J23" s="182">
        <f t="shared" si="1"/>
        <v>86</v>
      </c>
      <c r="K23" s="186">
        <f t="shared" si="2"/>
        <v>10</v>
      </c>
      <c r="L23" s="161">
        <v>7</v>
      </c>
      <c r="M23" s="153"/>
      <c r="N23" s="153">
        <v>2</v>
      </c>
      <c r="O23" s="154">
        <v>1</v>
      </c>
      <c r="P23" s="154"/>
      <c r="Q23" s="154"/>
      <c r="R23" s="192">
        <f t="shared" si="3"/>
        <v>3</v>
      </c>
      <c r="S23" s="155"/>
      <c r="T23" s="156"/>
      <c r="U23" s="157"/>
      <c r="V23" s="157"/>
      <c r="W23" s="157"/>
      <c r="X23" s="158"/>
      <c r="Y23" s="158"/>
      <c r="Z23" s="192">
        <f t="shared" si="4"/>
        <v>0</v>
      </c>
      <c r="AA23" s="155"/>
      <c r="AB23" s="152"/>
      <c r="AC23" s="153"/>
      <c r="AD23" s="153"/>
      <c r="AE23" s="153"/>
      <c r="AF23" s="154"/>
      <c r="AG23" s="154"/>
      <c r="AH23" s="192">
        <f t="shared" si="5"/>
        <v>0</v>
      </c>
      <c r="AI23" s="155"/>
      <c r="AJ23" s="152"/>
      <c r="AK23" s="153"/>
      <c r="AL23" s="153"/>
      <c r="AM23" s="153"/>
      <c r="AN23" s="154"/>
      <c r="AO23" s="154"/>
      <c r="AP23" s="154"/>
      <c r="AQ23" s="193">
        <f t="shared" si="6"/>
        <v>0</v>
      </c>
    </row>
    <row r="24" spans="1:43" ht="21.75" customHeight="1" x14ac:dyDescent="0.25">
      <c r="A24" s="173" t="s">
        <v>17</v>
      </c>
      <c r="B24" s="194"/>
      <c r="C24" s="179">
        <v>8621</v>
      </c>
      <c r="D24" s="200" t="s">
        <v>76</v>
      </c>
      <c r="E24" s="172"/>
      <c r="F24" s="172"/>
      <c r="G24" s="176">
        <f t="shared" si="0"/>
        <v>0</v>
      </c>
      <c r="H24" s="172"/>
      <c r="I24" s="172"/>
      <c r="J24" s="182">
        <f t="shared" si="1"/>
        <v>0</v>
      </c>
      <c r="K24" s="186">
        <f t="shared" si="2"/>
        <v>0</v>
      </c>
      <c r="L24" s="161"/>
      <c r="M24" s="153"/>
      <c r="N24" s="153"/>
      <c r="O24" s="154"/>
      <c r="P24" s="154"/>
      <c r="Q24" s="154"/>
      <c r="R24" s="192">
        <f t="shared" si="3"/>
        <v>0</v>
      </c>
      <c r="S24" s="155"/>
      <c r="T24" s="156"/>
      <c r="U24" s="157"/>
      <c r="V24" s="157"/>
      <c r="W24" s="157"/>
      <c r="X24" s="158"/>
      <c r="Y24" s="158"/>
      <c r="Z24" s="192">
        <f t="shared" si="4"/>
        <v>0</v>
      </c>
      <c r="AA24" s="155"/>
      <c r="AB24" s="152"/>
      <c r="AC24" s="153"/>
      <c r="AD24" s="153"/>
      <c r="AE24" s="153"/>
      <c r="AF24" s="154"/>
      <c r="AG24" s="154"/>
      <c r="AH24" s="192">
        <f t="shared" si="5"/>
        <v>0</v>
      </c>
      <c r="AI24" s="155"/>
      <c r="AJ24" s="152"/>
      <c r="AK24" s="153"/>
      <c r="AL24" s="153"/>
      <c r="AM24" s="153"/>
      <c r="AN24" s="154"/>
      <c r="AO24" s="154"/>
      <c r="AP24" s="154"/>
      <c r="AQ24" s="193">
        <f t="shared" si="6"/>
        <v>0</v>
      </c>
    </row>
    <row r="25" spans="1:43" ht="21.75" customHeight="1" x14ac:dyDescent="0.25">
      <c r="A25" s="173" t="s">
        <v>18</v>
      </c>
      <c r="B25" s="194"/>
      <c r="C25" s="179">
        <v>8622</v>
      </c>
      <c r="D25" s="200" t="s">
        <v>77</v>
      </c>
      <c r="E25" s="177">
        <v>13767</v>
      </c>
      <c r="F25" s="177">
        <v>13769</v>
      </c>
      <c r="G25" s="178">
        <f t="shared" si="0"/>
        <v>2</v>
      </c>
      <c r="H25" s="177">
        <v>177903</v>
      </c>
      <c r="I25" s="177">
        <v>177930</v>
      </c>
      <c r="J25" s="182">
        <f t="shared" si="1"/>
        <v>27</v>
      </c>
      <c r="K25" s="186">
        <f t="shared" si="2"/>
        <v>1</v>
      </c>
      <c r="L25" s="161"/>
      <c r="M25" s="153"/>
      <c r="N25" s="153"/>
      <c r="O25" s="154"/>
      <c r="P25" s="154"/>
      <c r="Q25" s="191"/>
      <c r="R25" s="192">
        <f t="shared" si="3"/>
        <v>0</v>
      </c>
      <c r="S25" s="155"/>
      <c r="T25" s="156"/>
      <c r="U25" s="157"/>
      <c r="V25" s="157"/>
      <c r="W25" s="157"/>
      <c r="X25" s="158"/>
      <c r="Y25" s="158"/>
      <c r="Z25" s="192">
        <f t="shared" si="4"/>
        <v>0</v>
      </c>
      <c r="AA25" s="155"/>
      <c r="AB25" s="152"/>
      <c r="AC25" s="153"/>
      <c r="AD25" s="153"/>
      <c r="AE25" s="153"/>
      <c r="AF25" s="154"/>
      <c r="AG25" s="154"/>
      <c r="AH25" s="192">
        <f t="shared" si="5"/>
        <v>0</v>
      </c>
      <c r="AI25" s="155"/>
      <c r="AJ25" s="152">
        <v>1</v>
      </c>
      <c r="AK25" s="153"/>
      <c r="AL25" s="153"/>
      <c r="AM25" s="153"/>
      <c r="AN25" s="154"/>
      <c r="AO25" s="154"/>
      <c r="AP25" s="154"/>
      <c r="AQ25" s="193">
        <f t="shared" si="6"/>
        <v>0</v>
      </c>
    </row>
    <row r="26" spans="1:43" ht="21.75" customHeight="1" x14ac:dyDescent="0.25">
      <c r="A26" s="173" t="s">
        <v>19</v>
      </c>
      <c r="B26" s="194"/>
      <c r="C26" s="179">
        <v>8623</v>
      </c>
      <c r="D26" s="200" t="s">
        <v>76</v>
      </c>
      <c r="E26" s="172">
        <v>13765</v>
      </c>
      <c r="F26" s="172">
        <v>13777</v>
      </c>
      <c r="G26" s="176">
        <f t="shared" si="0"/>
        <v>12</v>
      </c>
      <c r="H26" s="172">
        <v>181235</v>
      </c>
      <c r="I26" s="172">
        <v>181384</v>
      </c>
      <c r="J26" s="182">
        <f t="shared" si="1"/>
        <v>149</v>
      </c>
      <c r="K26" s="186">
        <f t="shared" si="2"/>
        <v>9</v>
      </c>
      <c r="L26" s="161">
        <v>5</v>
      </c>
      <c r="M26" s="153">
        <v>1</v>
      </c>
      <c r="N26" s="153">
        <v>3</v>
      </c>
      <c r="O26" s="154"/>
      <c r="P26" s="159"/>
      <c r="Q26" s="159"/>
      <c r="R26" s="192">
        <f t="shared" si="3"/>
        <v>4</v>
      </c>
      <c r="S26" s="155"/>
      <c r="T26" s="156"/>
      <c r="U26" s="157"/>
      <c r="V26" s="157"/>
      <c r="W26" s="157"/>
      <c r="X26" s="158"/>
      <c r="Y26" s="158"/>
      <c r="Z26" s="192">
        <f t="shared" si="4"/>
        <v>0</v>
      </c>
      <c r="AA26" s="155"/>
      <c r="AB26" s="152"/>
      <c r="AC26" s="153"/>
      <c r="AD26" s="160"/>
      <c r="AE26" s="153"/>
      <c r="AF26" s="154"/>
      <c r="AG26" s="154"/>
      <c r="AH26" s="192">
        <f t="shared" si="5"/>
        <v>0</v>
      </c>
      <c r="AI26" s="155"/>
      <c r="AJ26" s="152"/>
      <c r="AK26" s="161"/>
      <c r="AL26" s="153"/>
      <c r="AM26" s="153"/>
      <c r="AN26" s="154"/>
      <c r="AO26" s="154"/>
      <c r="AP26" s="154"/>
      <c r="AQ26" s="193">
        <f t="shared" si="6"/>
        <v>0</v>
      </c>
    </row>
    <row r="27" spans="1:43" ht="20.25" customHeight="1" x14ac:dyDescent="0.25">
      <c r="A27" s="173" t="s">
        <v>20</v>
      </c>
      <c r="B27" s="194"/>
      <c r="C27" s="179">
        <v>8624</v>
      </c>
      <c r="D27" s="200" t="s">
        <v>77</v>
      </c>
      <c r="E27" s="172">
        <v>5251</v>
      </c>
      <c r="F27" s="172">
        <v>5256</v>
      </c>
      <c r="G27" s="176">
        <f t="shared" si="0"/>
        <v>5</v>
      </c>
      <c r="H27" s="172">
        <v>235710</v>
      </c>
      <c r="I27" s="172">
        <v>235770</v>
      </c>
      <c r="J27" s="182">
        <f t="shared" si="1"/>
        <v>60</v>
      </c>
      <c r="K27" s="186">
        <f t="shared" si="2"/>
        <v>5</v>
      </c>
      <c r="L27" s="161"/>
      <c r="M27" s="157"/>
      <c r="N27" s="153"/>
      <c r="O27" s="154"/>
      <c r="P27" s="154"/>
      <c r="Q27" s="154"/>
      <c r="R27" s="192">
        <f t="shared" si="3"/>
        <v>0</v>
      </c>
      <c r="S27" s="155"/>
      <c r="T27" s="156">
        <v>3</v>
      </c>
      <c r="U27" s="157"/>
      <c r="V27" s="157">
        <v>2</v>
      </c>
      <c r="W27" s="157"/>
      <c r="X27" s="158"/>
      <c r="Y27" s="158"/>
      <c r="Z27" s="192">
        <f t="shared" si="4"/>
        <v>2</v>
      </c>
      <c r="AA27" s="155"/>
      <c r="AB27" s="152"/>
      <c r="AC27" s="153"/>
      <c r="AD27" s="153"/>
      <c r="AE27" s="153"/>
      <c r="AF27" s="154"/>
      <c r="AG27" s="154"/>
      <c r="AH27" s="192">
        <f t="shared" si="5"/>
        <v>0</v>
      </c>
      <c r="AI27" s="155"/>
      <c r="AJ27" s="152"/>
      <c r="AK27" s="161"/>
      <c r="AL27" s="153"/>
      <c r="AM27" s="153"/>
      <c r="AN27" s="154"/>
      <c r="AO27" s="154"/>
      <c r="AP27" s="154"/>
      <c r="AQ27" s="193">
        <f t="shared" si="6"/>
        <v>0</v>
      </c>
    </row>
    <row r="28" spans="1:43" ht="21.75" customHeight="1" x14ac:dyDescent="0.25">
      <c r="A28" s="173" t="s">
        <v>21</v>
      </c>
      <c r="B28" s="194"/>
      <c r="C28" s="179">
        <v>8625</v>
      </c>
      <c r="D28" s="200" t="s">
        <v>76</v>
      </c>
      <c r="E28" s="172">
        <v>7362</v>
      </c>
      <c r="F28" s="172">
        <v>7371</v>
      </c>
      <c r="G28" s="176">
        <f t="shared" si="0"/>
        <v>9</v>
      </c>
      <c r="H28" s="172">
        <v>280142</v>
      </c>
      <c r="I28" s="172">
        <v>280256</v>
      </c>
      <c r="J28" s="182">
        <f t="shared" si="1"/>
        <v>114</v>
      </c>
      <c r="K28" s="186">
        <f t="shared" si="2"/>
        <v>8</v>
      </c>
      <c r="L28" s="161"/>
      <c r="M28" s="153"/>
      <c r="N28" s="153"/>
      <c r="O28" s="154"/>
      <c r="P28" s="154"/>
      <c r="Q28" s="154"/>
      <c r="R28" s="192">
        <f t="shared" si="3"/>
        <v>0</v>
      </c>
      <c r="S28" s="155"/>
      <c r="T28" s="156"/>
      <c r="U28" s="157"/>
      <c r="V28" s="157"/>
      <c r="W28" s="157"/>
      <c r="X28" s="158"/>
      <c r="Y28" s="158"/>
      <c r="Z28" s="192">
        <f t="shared" si="4"/>
        <v>0</v>
      </c>
      <c r="AA28" s="155"/>
      <c r="AB28" s="152"/>
      <c r="AC28" s="153"/>
      <c r="AD28" s="153"/>
      <c r="AE28" s="153"/>
      <c r="AF28" s="154"/>
      <c r="AG28" s="154"/>
      <c r="AH28" s="192">
        <f t="shared" si="5"/>
        <v>0</v>
      </c>
      <c r="AI28" s="155"/>
      <c r="AJ28" s="152">
        <v>4</v>
      </c>
      <c r="AK28" s="161">
        <v>4</v>
      </c>
      <c r="AL28" s="153"/>
      <c r="AM28" s="153"/>
      <c r="AN28" s="154"/>
      <c r="AO28" s="154"/>
      <c r="AP28" s="154"/>
      <c r="AQ28" s="193">
        <f t="shared" si="6"/>
        <v>4</v>
      </c>
    </row>
    <row r="29" spans="1:43" ht="21.75" customHeight="1" x14ac:dyDescent="0.25">
      <c r="A29" s="173" t="s">
        <v>22</v>
      </c>
      <c r="B29" s="194"/>
      <c r="C29" s="179">
        <v>8626</v>
      </c>
      <c r="D29" s="200" t="s">
        <v>77</v>
      </c>
      <c r="E29" s="172"/>
      <c r="F29" s="172"/>
      <c r="G29" s="176">
        <f t="shared" si="0"/>
        <v>0</v>
      </c>
      <c r="H29" s="172"/>
      <c r="I29" s="172"/>
      <c r="J29" s="182">
        <f t="shared" si="1"/>
        <v>0</v>
      </c>
      <c r="K29" s="186">
        <f t="shared" si="2"/>
        <v>0</v>
      </c>
      <c r="L29" s="161"/>
      <c r="M29" s="153"/>
      <c r="N29" s="153"/>
      <c r="O29" s="154"/>
      <c r="P29" s="154"/>
      <c r="Q29" s="154"/>
      <c r="R29" s="192">
        <f t="shared" si="3"/>
        <v>0</v>
      </c>
      <c r="S29" s="155"/>
      <c r="T29" s="156"/>
      <c r="U29" s="157"/>
      <c r="V29" s="157"/>
      <c r="W29" s="157"/>
      <c r="X29" s="158"/>
      <c r="Y29" s="158"/>
      <c r="Z29" s="192">
        <f t="shared" si="4"/>
        <v>0</v>
      </c>
      <c r="AA29" s="155"/>
      <c r="AB29" s="152"/>
      <c r="AC29" s="153"/>
      <c r="AD29" s="153"/>
      <c r="AE29" s="153"/>
      <c r="AF29" s="154"/>
      <c r="AG29" s="154"/>
      <c r="AH29" s="192">
        <f t="shared" si="5"/>
        <v>0</v>
      </c>
      <c r="AI29" s="155"/>
      <c r="AJ29" s="152"/>
      <c r="AK29" s="161"/>
      <c r="AL29" s="153"/>
      <c r="AM29" s="153"/>
      <c r="AN29" s="154"/>
      <c r="AO29" s="154"/>
      <c r="AP29" s="154"/>
      <c r="AQ29" s="193">
        <f t="shared" si="6"/>
        <v>0</v>
      </c>
    </row>
    <row r="30" spans="1:43" ht="21.75" customHeight="1" x14ac:dyDescent="0.25">
      <c r="A30" s="173" t="s">
        <v>23</v>
      </c>
      <c r="B30" s="194"/>
      <c r="C30" s="179">
        <v>8627</v>
      </c>
      <c r="D30" s="200" t="s">
        <v>76</v>
      </c>
      <c r="E30" s="172">
        <v>11388</v>
      </c>
      <c r="F30" s="172">
        <v>11390</v>
      </c>
      <c r="G30" s="176">
        <f t="shared" si="0"/>
        <v>2</v>
      </c>
      <c r="H30" s="172">
        <v>140733</v>
      </c>
      <c r="I30" s="172">
        <v>140757</v>
      </c>
      <c r="J30" s="182">
        <f t="shared" si="1"/>
        <v>24</v>
      </c>
      <c r="K30" s="186">
        <f t="shared" si="2"/>
        <v>1</v>
      </c>
      <c r="L30" s="161"/>
      <c r="M30" s="153"/>
      <c r="N30" s="153"/>
      <c r="O30" s="154"/>
      <c r="P30" s="154"/>
      <c r="Q30" s="154"/>
      <c r="R30" s="192">
        <f t="shared" si="3"/>
        <v>0</v>
      </c>
      <c r="S30" s="155"/>
      <c r="T30" s="156"/>
      <c r="U30" s="157"/>
      <c r="V30" s="157"/>
      <c r="W30" s="157"/>
      <c r="X30" s="158"/>
      <c r="Y30" s="158"/>
      <c r="Z30" s="192">
        <f t="shared" si="4"/>
        <v>0</v>
      </c>
      <c r="AA30" s="155"/>
      <c r="AB30" s="152"/>
      <c r="AC30" s="153"/>
      <c r="AD30" s="153"/>
      <c r="AE30" s="153"/>
      <c r="AF30" s="154"/>
      <c r="AG30" s="154"/>
      <c r="AH30" s="192">
        <f t="shared" si="5"/>
        <v>0</v>
      </c>
      <c r="AI30" s="155"/>
      <c r="AJ30" s="152">
        <v>1</v>
      </c>
      <c r="AK30" s="161"/>
      <c r="AL30" s="153"/>
      <c r="AM30" s="162"/>
      <c r="AN30" s="154"/>
      <c r="AO30" s="154"/>
      <c r="AP30" s="154"/>
      <c r="AQ30" s="193">
        <f t="shared" si="6"/>
        <v>0</v>
      </c>
    </row>
    <row r="31" spans="1:43" ht="21.75" customHeight="1" x14ac:dyDescent="0.25">
      <c r="A31" s="173" t="s">
        <v>24</v>
      </c>
      <c r="B31" s="194"/>
      <c r="C31" s="179">
        <v>8628</v>
      </c>
      <c r="D31" s="200" t="s">
        <v>77</v>
      </c>
      <c r="E31" s="172">
        <v>10795.4</v>
      </c>
      <c r="F31" s="172">
        <v>10806</v>
      </c>
      <c r="G31" s="176">
        <f t="shared" si="0"/>
        <v>10.600000000000364</v>
      </c>
      <c r="H31" s="172">
        <v>145441</v>
      </c>
      <c r="I31" s="172">
        <v>145581</v>
      </c>
      <c r="J31" s="182">
        <f t="shared" si="1"/>
        <v>140</v>
      </c>
      <c r="K31" s="186">
        <f t="shared" si="2"/>
        <v>12</v>
      </c>
      <c r="L31" s="161"/>
      <c r="M31" s="153"/>
      <c r="N31" s="153"/>
      <c r="O31" s="154"/>
      <c r="P31" s="154"/>
      <c r="Q31" s="154"/>
      <c r="R31" s="192">
        <f t="shared" si="3"/>
        <v>0</v>
      </c>
      <c r="S31" s="155"/>
      <c r="T31" s="156">
        <v>4</v>
      </c>
      <c r="U31" s="157">
        <v>4</v>
      </c>
      <c r="V31" s="157">
        <v>4</v>
      </c>
      <c r="W31" s="157"/>
      <c r="X31" s="158"/>
      <c r="Y31" s="158"/>
      <c r="Z31" s="192">
        <f t="shared" si="4"/>
        <v>8</v>
      </c>
      <c r="AA31" s="155"/>
      <c r="AB31" s="152"/>
      <c r="AC31" s="153"/>
      <c r="AD31" s="153"/>
      <c r="AE31" s="153"/>
      <c r="AF31" s="154"/>
      <c r="AG31" s="154"/>
      <c r="AH31" s="192">
        <f t="shared" si="5"/>
        <v>0</v>
      </c>
      <c r="AI31" s="155"/>
      <c r="AJ31" s="152"/>
      <c r="AK31" s="161"/>
      <c r="AL31" s="153"/>
      <c r="AM31" s="153"/>
      <c r="AN31" s="154"/>
      <c r="AO31" s="154"/>
      <c r="AP31" s="154"/>
      <c r="AQ31" s="193">
        <f t="shared" si="6"/>
        <v>0</v>
      </c>
    </row>
    <row r="32" spans="1:43" ht="21.75" customHeight="1" x14ac:dyDescent="0.25">
      <c r="A32" s="173" t="s">
        <v>25</v>
      </c>
      <c r="B32" s="194"/>
      <c r="C32" s="179">
        <v>8629</v>
      </c>
      <c r="D32" s="200" t="s">
        <v>76</v>
      </c>
      <c r="E32" s="172">
        <v>11225</v>
      </c>
      <c r="F32" s="172">
        <v>11236</v>
      </c>
      <c r="G32" s="176">
        <f t="shared" si="0"/>
        <v>11</v>
      </c>
      <c r="H32" s="172">
        <v>146321</v>
      </c>
      <c r="I32" s="172">
        <v>146485</v>
      </c>
      <c r="J32" s="182">
        <f t="shared" si="1"/>
        <v>164</v>
      </c>
      <c r="K32" s="186">
        <f t="shared" si="2"/>
        <v>11</v>
      </c>
      <c r="L32" s="161"/>
      <c r="M32" s="153"/>
      <c r="N32" s="153"/>
      <c r="O32" s="154"/>
      <c r="P32" s="154"/>
      <c r="Q32" s="154"/>
      <c r="R32" s="192">
        <f t="shared" si="3"/>
        <v>0</v>
      </c>
      <c r="S32" s="155"/>
      <c r="T32" s="156"/>
      <c r="U32" s="157"/>
      <c r="V32" s="157"/>
      <c r="W32" s="157"/>
      <c r="X32" s="158"/>
      <c r="Y32" s="158"/>
      <c r="Z32" s="192">
        <f t="shared" si="4"/>
        <v>0</v>
      </c>
      <c r="AA32" s="155"/>
      <c r="AB32" s="152"/>
      <c r="AC32" s="153"/>
      <c r="AD32" s="153"/>
      <c r="AE32" s="153"/>
      <c r="AF32" s="154"/>
      <c r="AG32" s="154"/>
      <c r="AH32" s="192">
        <f t="shared" si="5"/>
        <v>0</v>
      </c>
      <c r="AI32" s="155"/>
      <c r="AJ32" s="152">
        <v>6</v>
      </c>
      <c r="AK32" s="161">
        <v>5</v>
      </c>
      <c r="AL32" s="153"/>
      <c r="AM32" s="153"/>
      <c r="AN32" s="154"/>
      <c r="AO32" s="154"/>
      <c r="AP32" s="154"/>
      <c r="AQ32" s="193">
        <f t="shared" si="6"/>
        <v>5</v>
      </c>
    </row>
    <row r="33" spans="1:43" ht="21.75" customHeight="1" x14ac:dyDescent="0.25">
      <c r="A33" s="173" t="s">
        <v>26</v>
      </c>
      <c r="B33" s="194"/>
      <c r="C33" s="179">
        <v>8630</v>
      </c>
      <c r="D33" s="200" t="s">
        <v>77</v>
      </c>
      <c r="E33" s="172">
        <v>6068.5</v>
      </c>
      <c r="F33" s="172">
        <v>6080</v>
      </c>
      <c r="G33" s="176">
        <f t="shared" si="0"/>
        <v>11.5</v>
      </c>
      <c r="H33" s="172">
        <v>76094</v>
      </c>
      <c r="I33" s="172">
        <v>76248</v>
      </c>
      <c r="J33" s="182">
        <f t="shared" si="1"/>
        <v>154</v>
      </c>
      <c r="K33" s="186">
        <f t="shared" si="2"/>
        <v>10</v>
      </c>
      <c r="L33" s="161"/>
      <c r="M33" s="153"/>
      <c r="N33" s="153"/>
      <c r="O33" s="154"/>
      <c r="P33" s="154"/>
      <c r="Q33" s="154"/>
      <c r="R33" s="192">
        <f t="shared" si="3"/>
        <v>0</v>
      </c>
      <c r="S33" s="155"/>
      <c r="T33" s="156"/>
      <c r="U33" s="157"/>
      <c r="V33" s="157"/>
      <c r="W33" s="157"/>
      <c r="X33" s="158"/>
      <c r="Y33" s="158"/>
      <c r="Z33" s="192">
        <f t="shared" si="4"/>
        <v>0</v>
      </c>
      <c r="AA33" s="155"/>
      <c r="AB33" s="152"/>
      <c r="AC33" s="153"/>
      <c r="AD33" s="153"/>
      <c r="AE33" s="153"/>
      <c r="AF33" s="154"/>
      <c r="AG33" s="154"/>
      <c r="AH33" s="192">
        <f t="shared" si="5"/>
        <v>0</v>
      </c>
      <c r="AI33" s="155"/>
      <c r="AJ33" s="152">
        <v>6</v>
      </c>
      <c r="AK33" s="161">
        <v>4</v>
      </c>
      <c r="AL33" s="153"/>
      <c r="AM33" s="153"/>
      <c r="AN33" s="154"/>
      <c r="AO33" s="154"/>
      <c r="AP33" s="154"/>
      <c r="AQ33" s="193">
        <f t="shared" si="6"/>
        <v>4</v>
      </c>
    </row>
    <row r="34" spans="1:43" ht="21.75" customHeight="1" x14ac:dyDescent="0.25">
      <c r="A34" s="173" t="s">
        <v>27</v>
      </c>
      <c r="B34" s="194"/>
      <c r="C34" s="179">
        <v>8632</v>
      </c>
      <c r="D34" s="200" t="s">
        <v>76</v>
      </c>
      <c r="E34" s="172">
        <v>9213.2000000000007</v>
      </c>
      <c r="F34" s="172">
        <v>9224</v>
      </c>
      <c r="G34" s="176">
        <f t="shared" si="0"/>
        <v>10.799999999999272</v>
      </c>
      <c r="H34" s="172">
        <v>116372</v>
      </c>
      <c r="I34" s="172">
        <v>116510</v>
      </c>
      <c r="J34" s="182">
        <f t="shared" si="1"/>
        <v>138</v>
      </c>
      <c r="K34" s="186">
        <f t="shared" si="2"/>
        <v>10</v>
      </c>
      <c r="L34" s="185"/>
      <c r="M34" s="163"/>
      <c r="N34" s="163"/>
      <c r="O34" s="164"/>
      <c r="P34" s="164"/>
      <c r="Q34" s="164"/>
      <c r="R34" s="192">
        <f t="shared" si="3"/>
        <v>0</v>
      </c>
      <c r="S34" s="155"/>
      <c r="T34" s="156"/>
      <c r="U34" s="157"/>
      <c r="V34" s="157"/>
      <c r="W34" s="157"/>
      <c r="X34" s="158"/>
      <c r="Y34" s="158"/>
      <c r="Z34" s="192">
        <f t="shared" si="4"/>
        <v>0</v>
      </c>
      <c r="AA34" s="155"/>
      <c r="AB34" s="152"/>
      <c r="AC34" s="153"/>
      <c r="AD34" s="153"/>
      <c r="AE34" s="153"/>
      <c r="AF34" s="154"/>
      <c r="AG34" s="154"/>
      <c r="AH34" s="192">
        <f t="shared" si="5"/>
        <v>0</v>
      </c>
      <c r="AI34" s="155"/>
      <c r="AJ34" s="152">
        <v>6</v>
      </c>
      <c r="AK34" s="161">
        <v>4</v>
      </c>
      <c r="AL34" s="153"/>
      <c r="AM34" s="153"/>
      <c r="AN34" s="154"/>
      <c r="AO34" s="154"/>
      <c r="AP34" s="154"/>
      <c r="AQ34" s="193">
        <f t="shared" si="6"/>
        <v>4</v>
      </c>
    </row>
    <row r="35" spans="1:43" ht="21.75" customHeight="1" x14ac:dyDescent="0.25">
      <c r="A35" s="173" t="s">
        <v>34</v>
      </c>
      <c r="B35" s="194"/>
      <c r="C35" s="179">
        <v>8633</v>
      </c>
      <c r="D35" s="200" t="s">
        <v>77</v>
      </c>
      <c r="E35" s="172">
        <v>8069.3</v>
      </c>
      <c r="F35" s="172">
        <v>8081</v>
      </c>
      <c r="G35" s="176">
        <f t="shared" si="0"/>
        <v>11.699999999999818</v>
      </c>
      <c r="H35" s="172">
        <v>112412</v>
      </c>
      <c r="I35" s="172">
        <v>112560</v>
      </c>
      <c r="J35" s="182">
        <f t="shared" si="1"/>
        <v>148</v>
      </c>
      <c r="K35" s="186">
        <f t="shared" si="2"/>
        <v>10</v>
      </c>
      <c r="L35" s="161"/>
      <c r="M35" s="153"/>
      <c r="N35" s="153"/>
      <c r="O35" s="154"/>
      <c r="P35" s="154"/>
      <c r="Q35" s="154"/>
      <c r="R35" s="192">
        <f t="shared" si="3"/>
        <v>0</v>
      </c>
      <c r="S35" s="155"/>
      <c r="T35" s="156"/>
      <c r="U35" s="157"/>
      <c r="V35" s="157"/>
      <c r="W35" s="157"/>
      <c r="X35" s="158"/>
      <c r="Y35" s="158"/>
      <c r="Z35" s="192">
        <f t="shared" si="4"/>
        <v>0</v>
      </c>
      <c r="AA35" s="155"/>
      <c r="AB35" s="152"/>
      <c r="AC35" s="153"/>
      <c r="AD35" s="153"/>
      <c r="AE35" s="153"/>
      <c r="AF35" s="154"/>
      <c r="AG35" s="154"/>
      <c r="AH35" s="192">
        <f t="shared" si="5"/>
        <v>0</v>
      </c>
      <c r="AI35" s="155"/>
      <c r="AJ35" s="152">
        <v>6</v>
      </c>
      <c r="AK35" s="161">
        <v>4</v>
      </c>
      <c r="AL35" s="153"/>
      <c r="AM35" s="153"/>
      <c r="AN35" s="154"/>
      <c r="AO35" s="154"/>
      <c r="AP35" s="154"/>
      <c r="AQ35" s="193">
        <f t="shared" si="6"/>
        <v>4</v>
      </c>
    </row>
    <row r="36" spans="1:43" ht="21.75" customHeight="1" x14ac:dyDescent="0.25">
      <c r="A36" s="173" t="s">
        <v>33</v>
      </c>
      <c r="B36" s="194"/>
      <c r="C36" s="180">
        <v>8644</v>
      </c>
      <c r="D36" s="200" t="s">
        <v>76</v>
      </c>
      <c r="E36" s="172"/>
      <c r="F36" s="172"/>
      <c r="G36" s="176">
        <f t="shared" si="0"/>
        <v>0</v>
      </c>
      <c r="H36" s="172"/>
      <c r="I36" s="172"/>
      <c r="J36" s="182">
        <f t="shared" si="1"/>
        <v>0</v>
      </c>
      <c r="K36" s="186">
        <f t="shared" si="2"/>
        <v>0</v>
      </c>
      <c r="L36" s="161"/>
      <c r="M36" s="153"/>
      <c r="N36" s="153"/>
      <c r="O36" s="154"/>
      <c r="P36" s="154"/>
      <c r="Q36" s="154"/>
      <c r="R36" s="192">
        <f t="shared" si="3"/>
        <v>0</v>
      </c>
      <c r="S36" s="155"/>
      <c r="T36" s="156"/>
      <c r="U36" s="157"/>
      <c r="V36" s="157"/>
      <c r="W36" s="157"/>
      <c r="X36" s="158"/>
      <c r="Y36" s="158"/>
      <c r="Z36" s="192">
        <f t="shared" si="4"/>
        <v>0</v>
      </c>
      <c r="AA36" s="155"/>
      <c r="AB36" s="152"/>
      <c r="AC36" s="153"/>
      <c r="AD36" s="153"/>
      <c r="AE36" s="153"/>
      <c r="AF36" s="154"/>
      <c r="AG36" s="154"/>
      <c r="AH36" s="192">
        <f t="shared" si="5"/>
        <v>0</v>
      </c>
      <c r="AI36" s="155"/>
      <c r="AJ36" s="152"/>
      <c r="AK36" s="161"/>
      <c r="AL36" s="153"/>
      <c r="AM36" s="153"/>
      <c r="AN36" s="154"/>
      <c r="AO36" s="154"/>
      <c r="AP36" s="154"/>
      <c r="AQ36" s="193">
        <f t="shared" si="6"/>
        <v>0</v>
      </c>
    </row>
    <row r="37" spans="1:43" ht="21.75" customHeight="1" x14ac:dyDescent="0.25">
      <c r="A37" s="173" t="s">
        <v>33</v>
      </c>
      <c r="B37" s="194"/>
      <c r="C37" s="180">
        <v>8645</v>
      </c>
      <c r="D37" s="200" t="s">
        <v>77</v>
      </c>
      <c r="E37" s="172"/>
      <c r="F37" s="172"/>
      <c r="G37" s="176">
        <f t="shared" si="0"/>
        <v>0</v>
      </c>
      <c r="H37" s="172"/>
      <c r="I37" s="172"/>
      <c r="J37" s="182">
        <f t="shared" si="1"/>
        <v>0</v>
      </c>
      <c r="K37" s="186">
        <f t="shared" si="2"/>
        <v>0</v>
      </c>
      <c r="L37" s="161"/>
      <c r="M37" s="157"/>
      <c r="N37" s="157"/>
      <c r="O37" s="158"/>
      <c r="P37" s="158"/>
      <c r="Q37" s="154"/>
      <c r="R37" s="192">
        <f t="shared" si="3"/>
        <v>0</v>
      </c>
      <c r="S37" s="155"/>
      <c r="T37" s="156"/>
      <c r="U37" s="157"/>
      <c r="V37" s="157"/>
      <c r="W37" s="157"/>
      <c r="X37" s="158"/>
      <c r="Y37" s="158"/>
      <c r="Z37" s="192">
        <f t="shared" si="4"/>
        <v>0</v>
      </c>
      <c r="AA37" s="155"/>
      <c r="AB37" s="152"/>
      <c r="AC37" s="153"/>
      <c r="AD37" s="153"/>
      <c r="AE37" s="153"/>
      <c r="AF37" s="154"/>
      <c r="AG37" s="154"/>
      <c r="AH37" s="192">
        <f t="shared" si="5"/>
        <v>0</v>
      </c>
      <c r="AI37" s="155"/>
      <c r="AJ37" s="152"/>
      <c r="AK37" s="161"/>
      <c r="AL37" s="153"/>
      <c r="AM37" s="153"/>
      <c r="AN37" s="154"/>
      <c r="AO37" s="154"/>
      <c r="AP37" s="154"/>
      <c r="AQ37" s="193">
        <f t="shared" si="6"/>
        <v>0</v>
      </c>
    </row>
    <row r="38" spans="1:43" ht="21.75" customHeight="1" x14ac:dyDescent="0.25">
      <c r="A38" s="173" t="s">
        <v>28</v>
      </c>
      <c r="B38" s="194"/>
      <c r="C38" s="179">
        <v>8651</v>
      </c>
      <c r="D38" s="200" t="s">
        <v>76</v>
      </c>
      <c r="E38" s="172">
        <v>6379.8</v>
      </c>
      <c r="F38" s="172">
        <v>6388.4</v>
      </c>
      <c r="G38" s="176">
        <f t="shared" si="0"/>
        <v>8.5999999999994543</v>
      </c>
      <c r="H38" s="172">
        <v>82277</v>
      </c>
      <c r="I38" s="172">
        <v>82365</v>
      </c>
      <c r="J38" s="182">
        <f t="shared" si="1"/>
        <v>88</v>
      </c>
      <c r="K38" s="186">
        <f t="shared" si="2"/>
        <v>6</v>
      </c>
      <c r="L38" s="184"/>
      <c r="M38" s="153"/>
      <c r="N38" s="153"/>
      <c r="O38" s="154"/>
      <c r="P38" s="154"/>
      <c r="Q38" s="154"/>
      <c r="R38" s="192">
        <f t="shared" si="3"/>
        <v>0</v>
      </c>
      <c r="S38" s="155"/>
      <c r="T38" s="156">
        <v>3</v>
      </c>
      <c r="U38" s="157"/>
      <c r="V38" s="157">
        <v>3</v>
      </c>
      <c r="W38" s="157"/>
      <c r="X38" s="158"/>
      <c r="Y38" s="158"/>
      <c r="Z38" s="192">
        <f t="shared" si="4"/>
        <v>3</v>
      </c>
      <c r="AA38" s="155"/>
      <c r="AB38" s="152"/>
      <c r="AC38" s="153"/>
      <c r="AD38" s="153"/>
      <c r="AE38" s="153"/>
      <c r="AF38" s="154"/>
      <c r="AG38" s="154"/>
      <c r="AH38" s="192">
        <f t="shared" si="5"/>
        <v>0</v>
      </c>
      <c r="AI38" s="155"/>
      <c r="AJ38" s="152"/>
      <c r="AK38" s="161"/>
      <c r="AL38" s="153"/>
      <c r="AM38" s="153"/>
      <c r="AN38" s="154"/>
      <c r="AO38" s="154"/>
      <c r="AP38" s="154"/>
      <c r="AQ38" s="193">
        <f t="shared" si="6"/>
        <v>0</v>
      </c>
    </row>
    <row r="39" spans="1:43" ht="21.75" customHeight="1" thickBot="1" x14ac:dyDescent="0.3">
      <c r="A39" s="174" t="s">
        <v>29</v>
      </c>
      <c r="B39" s="194"/>
      <c r="C39" s="196">
        <v>8652</v>
      </c>
      <c r="D39" s="200" t="s">
        <v>77</v>
      </c>
      <c r="E39" s="197">
        <v>5946</v>
      </c>
      <c r="F39" s="197">
        <v>5956</v>
      </c>
      <c r="G39" s="198">
        <f t="shared" si="0"/>
        <v>10</v>
      </c>
      <c r="H39" s="181">
        <v>76418</v>
      </c>
      <c r="I39" s="181">
        <v>76579</v>
      </c>
      <c r="J39" s="183">
        <f t="shared" si="1"/>
        <v>161</v>
      </c>
      <c r="K39" s="187">
        <f t="shared" si="2"/>
        <v>11</v>
      </c>
      <c r="L39" s="171"/>
      <c r="M39" s="166"/>
      <c r="N39" s="166"/>
      <c r="O39" s="167"/>
      <c r="P39" s="167"/>
      <c r="Q39" s="167"/>
      <c r="R39" s="192">
        <f t="shared" si="3"/>
        <v>0</v>
      </c>
      <c r="S39" s="155"/>
      <c r="T39" s="168"/>
      <c r="U39" s="169"/>
      <c r="V39" s="169"/>
      <c r="W39" s="169"/>
      <c r="X39" s="170"/>
      <c r="Y39" s="170"/>
      <c r="Z39" s="192">
        <f t="shared" si="4"/>
        <v>0</v>
      </c>
      <c r="AA39" s="155"/>
      <c r="AB39" s="165"/>
      <c r="AC39" s="166"/>
      <c r="AD39" s="166"/>
      <c r="AE39" s="166"/>
      <c r="AF39" s="167"/>
      <c r="AG39" s="167"/>
      <c r="AH39" s="192">
        <f t="shared" si="5"/>
        <v>0</v>
      </c>
      <c r="AI39" s="155"/>
      <c r="AJ39" s="165">
        <v>6</v>
      </c>
      <c r="AK39" s="171">
        <v>5</v>
      </c>
      <c r="AL39" s="166"/>
      <c r="AM39" s="166"/>
      <c r="AN39" s="154"/>
      <c r="AO39" s="167"/>
      <c r="AP39" s="167"/>
      <c r="AQ39" s="193">
        <f t="shared" si="6"/>
        <v>5</v>
      </c>
    </row>
    <row r="40" spans="1:43" ht="23.25" customHeight="1" x14ac:dyDescent="0.25">
      <c r="B40" s="195" t="s">
        <v>64</v>
      </c>
      <c r="C40" s="175" t="s">
        <v>65</v>
      </c>
      <c r="D40" s="200" t="s">
        <v>76</v>
      </c>
      <c r="E40" s="172">
        <v>9132</v>
      </c>
      <c r="F40" s="172">
        <v>9139</v>
      </c>
      <c r="G40" s="198">
        <f t="shared" si="0"/>
        <v>7</v>
      </c>
    </row>
    <row r="41" spans="1:43" ht="23.25" customHeight="1" x14ac:dyDescent="0.25">
      <c r="B41" s="195"/>
      <c r="C41" s="175" t="s">
        <v>66</v>
      </c>
      <c r="D41" s="200" t="s">
        <v>77</v>
      </c>
      <c r="E41" s="172">
        <v>2918</v>
      </c>
      <c r="F41" s="172">
        <v>2926</v>
      </c>
      <c r="G41" s="198">
        <f t="shared" si="0"/>
        <v>8</v>
      </c>
    </row>
    <row r="42" spans="1:43" ht="23.25" customHeight="1" x14ac:dyDescent="0.25">
      <c r="B42" s="195"/>
      <c r="C42" s="175" t="s">
        <v>67</v>
      </c>
      <c r="D42" s="200" t="s">
        <v>76</v>
      </c>
      <c r="E42" s="172">
        <v>10251</v>
      </c>
      <c r="F42" s="172">
        <v>10263</v>
      </c>
      <c r="G42" s="198">
        <f t="shared" si="0"/>
        <v>12</v>
      </c>
    </row>
    <row r="43" spans="1:43" ht="23.25" customHeight="1" x14ac:dyDescent="0.25">
      <c r="B43" s="195"/>
      <c r="C43" s="175" t="s">
        <v>68</v>
      </c>
      <c r="D43" s="200" t="s">
        <v>77</v>
      </c>
      <c r="E43" s="172">
        <v>8872</v>
      </c>
      <c r="F43" s="172">
        <v>8882</v>
      </c>
      <c r="G43" s="198">
        <f t="shared" si="0"/>
        <v>10</v>
      </c>
    </row>
    <row r="44" spans="1:43" ht="23.25" customHeight="1" x14ac:dyDescent="0.25">
      <c r="B44" s="195"/>
      <c r="C44" s="175" t="s">
        <v>69</v>
      </c>
      <c r="D44" s="200" t="s">
        <v>76</v>
      </c>
      <c r="E44" s="172">
        <v>10225</v>
      </c>
      <c r="F44" s="172">
        <v>10236</v>
      </c>
      <c r="G44" s="198">
        <f t="shared" si="0"/>
        <v>11</v>
      </c>
    </row>
    <row r="45" spans="1:43" ht="23.25" customHeight="1" x14ac:dyDescent="0.25">
      <c r="B45" s="195"/>
      <c r="C45" s="175" t="s">
        <v>70</v>
      </c>
      <c r="D45" s="200" t="s">
        <v>77</v>
      </c>
      <c r="E45" s="172">
        <v>10975</v>
      </c>
      <c r="F45" s="172">
        <v>10987</v>
      </c>
      <c r="G45" s="198">
        <f t="shared" si="0"/>
        <v>12</v>
      </c>
    </row>
    <row r="46" spans="1:43" ht="23.25" customHeight="1" x14ac:dyDescent="0.25">
      <c r="B46" s="195"/>
      <c r="C46" s="175" t="s">
        <v>71</v>
      </c>
      <c r="D46" s="200" t="s">
        <v>76</v>
      </c>
      <c r="E46" s="172">
        <v>6450</v>
      </c>
      <c r="F46" s="172">
        <v>6461</v>
      </c>
      <c r="G46" s="198">
        <f t="shared" si="0"/>
        <v>11</v>
      </c>
    </row>
    <row r="47" spans="1:43" ht="23.25" customHeight="1" x14ac:dyDescent="0.25">
      <c r="B47" s="195"/>
      <c r="C47" s="175" t="s">
        <v>72</v>
      </c>
      <c r="D47" s="200" t="s">
        <v>77</v>
      </c>
      <c r="E47" s="172">
        <v>13767</v>
      </c>
      <c r="F47" s="172">
        <v>13769</v>
      </c>
      <c r="G47" s="198">
        <f t="shared" si="0"/>
        <v>2</v>
      </c>
    </row>
    <row r="48" spans="1:43" ht="23.25" customHeight="1" x14ac:dyDescent="0.25">
      <c r="B48" s="195"/>
      <c r="C48" s="175" t="s">
        <v>73</v>
      </c>
      <c r="D48" s="200" t="s">
        <v>76</v>
      </c>
      <c r="E48" s="172">
        <v>13765</v>
      </c>
      <c r="F48" s="172">
        <v>13777</v>
      </c>
      <c r="G48" s="198">
        <f t="shared" si="0"/>
        <v>12</v>
      </c>
    </row>
    <row r="49" spans="2:7" ht="23.25" customHeight="1" x14ac:dyDescent="0.25">
      <c r="B49" s="195"/>
      <c r="C49" s="175" t="s">
        <v>74</v>
      </c>
      <c r="D49" s="200" t="s">
        <v>77</v>
      </c>
      <c r="E49" s="172">
        <v>5251</v>
      </c>
      <c r="F49" s="172">
        <v>5256</v>
      </c>
      <c r="G49" s="176">
        <f t="shared" si="0"/>
        <v>5</v>
      </c>
    </row>
  </sheetData>
  <autoFilter ref="L1:AQ40" xr:uid="{F8CA6F40-0EAA-4AF9-9803-415709AD0E2F}"/>
  <mergeCells count="6">
    <mergeCell ref="B4:B39"/>
    <mergeCell ref="B40:B49"/>
    <mergeCell ref="L2:R2"/>
    <mergeCell ref="T2:Z2"/>
    <mergeCell ref="AB2:AH2"/>
    <mergeCell ref="AJ2:AQ2"/>
  </mergeCells>
  <phoneticPr fontId="1" type="noConversion"/>
  <conditionalFormatting sqref="L4:Q39 T4:Y39 AJ4:AP39">
    <cfRule type="expression" dxfId="3" priority="2">
      <formula>MOD(ROW(),2)</formula>
    </cfRule>
  </conditionalFormatting>
  <conditionalFormatting sqref="AB4:AG39">
    <cfRule type="expression" dxfId="2" priority="1">
      <formula>MOD(ROW(),2)</formula>
    </cfRule>
  </conditionalFormatting>
  <pageMargins left="0.7" right="0.7" top="0.75" bottom="0.75" header="0.3" footer="0.3"/>
  <pageSetup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C862E-EBCC-4B4E-B038-2C99BCF08FC0}">
  <dimension ref="A1:AO44"/>
  <sheetViews>
    <sheetView showGridLines="0" topLeftCell="B1" zoomScale="60" zoomScaleNormal="60" workbookViewId="0">
      <selection activeCell="J50" sqref="J50"/>
    </sheetView>
  </sheetViews>
  <sheetFormatPr defaultRowHeight="15" x14ac:dyDescent="0.25"/>
  <cols>
    <col min="1" max="1" width="37.85546875" hidden="1" customWidth="1"/>
    <col min="2" max="2" width="8.42578125" bestFit="1" customWidth="1"/>
    <col min="3" max="3" width="8.140625" bestFit="1" customWidth="1"/>
    <col min="4" max="4" width="11.140625" bestFit="1" customWidth="1"/>
    <col min="5" max="5" width="8.5703125" bestFit="1" customWidth="1"/>
    <col min="6" max="6" width="13.7109375" bestFit="1" customWidth="1"/>
    <col min="7" max="8" width="9.42578125" bestFit="1" customWidth="1"/>
    <col min="9" max="9" width="6.85546875" style="32" customWidth="1"/>
    <col min="10" max="10" width="13" customWidth="1"/>
    <col min="11" max="23" width="9.42578125" customWidth="1"/>
    <col min="24" max="24" width="6.28515625" bestFit="1" customWidth="1"/>
    <col min="25" max="25" width="8.7109375" customWidth="1"/>
    <col min="26" max="26" width="11.140625" customWidth="1"/>
    <col min="27" max="31" width="11.42578125" customWidth="1"/>
    <col min="32" max="32" width="7.5703125" customWidth="1"/>
    <col min="33" max="33" width="7.7109375" customWidth="1"/>
    <col min="34" max="41" width="9.42578125" customWidth="1"/>
  </cols>
  <sheetData>
    <row r="1" spans="1:41" ht="15.75" thickBot="1" x14ac:dyDescent="0.3"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1" ht="15.75" thickBot="1" x14ac:dyDescent="0.3">
      <c r="B2" s="32"/>
      <c r="J2" s="135" t="s">
        <v>37</v>
      </c>
      <c r="K2" s="136"/>
      <c r="L2" s="136"/>
      <c r="M2" s="137"/>
      <c r="N2" s="137"/>
      <c r="O2" s="138"/>
      <c r="P2" s="32"/>
      <c r="Q2" s="32"/>
      <c r="R2" s="135" t="s">
        <v>38</v>
      </c>
      <c r="S2" s="136"/>
      <c r="T2" s="136"/>
      <c r="U2" s="136"/>
      <c r="V2" s="137"/>
      <c r="W2" s="138"/>
      <c r="X2" s="32"/>
      <c r="Y2" s="32"/>
      <c r="Z2" s="139" t="s">
        <v>43</v>
      </c>
      <c r="AA2" s="140"/>
      <c r="AB2" s="140"/>
      <c r="AC2" s="140"/>
      <c r="AD2" s="141"/>
      <c r="AE2" s="142"/>
      <c r="AF2" s="32"/>
      <c r="AG2" s="32"/>
      <c r="AH2" s="135" t="s">
        <v>39</v>
      </c>
      <c r="AI2" s="143"/>
      <c r="AJ2" s="136"/>
      <c r="AK2" s="136"/>
      <c r="AL2" s="137"/>
      <c r="AM2" s="137"/>
      <c r="AN2" s="138"/>
    </row>
    <row r="3" spans="1:41" ht="51" customHeight="1" x14ac:dyDescent="0.3">
      <c r="B3" s="32"/>
      <c r="J3" s="105" t="s">
        <v>36</v>
      </c>
      <c r="K3" s="102"/>
      <c r="L3" s="102"/>
      <c r="M3" s="103"/>
      <c r="N3" s="103"/>
      <c r="O3" s="104" t="s">
        <v>45</v>
      </c>
      <c r="P3" s="55"/>
      <c r="Q3" s="55"/>
      <c r="R3" s="101" t="s">
        <v>36</v>
      </c>
      <c r="S3" s="102">
        <v>12.2</v>
      </c>
      <c r="T3" s="102">
        <v>1.1000000000000001</v>
      </c>
      <c r="U3" s="102">
        <v>6.1</v>
      </c>
      <c r="V3" s="106">
        <v>8</v>
      </c>
      <c r="W3" s="107"/>
      <c r="X3" s="55"/>
      <c r="Y3" s="55"/>
      <c r="Z3" s="117" t="s">
        <v>44</v>
      </c>
      <c r="AA3" s="118">
        <v>29.1</v>
      </c>
      <c r="AB3" s="118">
        <v>58.1</v>
      </c>
      <c r="AC3" s="118"/>
      <c r="AD3" s="119"/>
      <c r="AE3" s="120"/>
      <c r="AF3" s="55"/>
      <c r="AG3" s="55"/>
      <c r="AH3" s="121" t="s">
        <v>36</v>
      </c>
      <c r="AI3" s="116"/>
      <c r="AJ3" s="103"/>
      <c r="AK3" s="102"/>
      <c r="AL3" s="103"/>
      <c r="AM3" s="103"/>
      <c r="AN3" s="104"/>
    </row>
    <row r="4" spans="1:41" ht="21.75" customHeight="1" x14ac:dyDescent="0.25">
      <c r="A4" s="7" t="s">
        <v>30</v>
      </c>
      <c r="B4" s="33">
        <v>8601</v>
      </c>
      <c r="C4" s="7">
        <v>7945</v>
      </c>
      <c r="D4" s="7">
        <v>7954</v>
      </c>
      <c r="E4" s="17">
        <f t="shared" ref="E4:E39" si="0">D4-C4</f>
        <v>9</v>
      </c>
      <c r="F4" s="7">
        <v>117273</v>
      </c>
      <c r="G4" s="7">
        <v>117436</v>
      </c>
      <c r="H4" s="17">
        <f t="shared" ref="H4:H39" si="1">+G4-F4</f>
        <v>163</v>
      </c>
      <c r="I4" s="37">
        <f t="shared" ref="I4:I39" si="2">SUM(J4:O4,R4:W4,AH4:AN4,Z4:AE4)</f>
        <v>10</v>
      </c>
      <c r="J4" s="56">
        <v>10</v>
      </c>
      <c r="K4" s="57"/>
      <c r="L4" s="57"/>
      <c r="M4" s="58"/>
      <c r="N4" s="58"/>
      <c r="O4" s="59"/>
      <c r="P4" s="60">
        <f t="shared" ref="P4:P39" si="3">SUM(K4:N4)</f>
        <v>0</v>
      </c>
      <c r="Q4" s="87"/>
      <c r="R4" s="62"/>
      <c r="S4" s="68"/>
      <c r="T4" s="68"/>
      <c r="U4" s="68"/>
      <c r="V4" s="69"/>
      <c r="W4" s="76"/>
      <c r="X4" s="61">
        <f>SUM(S4:W4)</f>
        <v>0</v>
      </c>
      <c r="Y4" s="87"/>
      <c r="Z4" s="56"/>
      <c r="AA4" s="57"/>
      <c r="AB4" s="57"/>
      <c r="AC4" s="57"/>
      <c r="AD4" s="58"/>
      <c r="AE4" s="59"/>
      <c r="AF4" s="61">
        <f>SUM(AA4:AE4)</f>
        <v>0</v>
      </c>
      <c r="AG4" s="87"/>
      <c r="AH4" s="56"/>
      <c r="AI4" s="57"/>
      <c r="AJ4" s="58"/>
      <c r="AK4" s="57"/>
      <c r="AL4" s="58"/>
      <c r="AM4" s="58"/>
      <c r="AN4" s="59"/>
      <c r="AO4" s="40">
        <f>SUM(AI4:AN4)</f>
        <v>0</v>
      </c>
    </row>
    <row r="5" spans="1:41" ht="21.75" customHeight="1" x14ac:dyDescent="0.25">
      <c r="A5" s="7" t="s">
        <v>31</v>
      </c>
      <c r="B5" s="33">
        <v>8602</v>
      </c>
      <c r="C5" s="7">
        <v>5946</v>
      </c>
      <c r="D5" s="7">
        <v>5957</v>
      </c>
      <c r="E5" s="17">
        <f t="shared" si="0"/>
        <v>11</v>
      </c>
      <c r="F5" s="7">
        <v>110345</v>
      </c>
      <c r="G5" s="7">
        <f>+F5+120</f>
        <v>110465</v>
      </c>
      <c r="H5" s="17">
        <f t="shared" si="1"/>
        <v>120</v>
      </c>
      <c r="I5" s="37">
        <f t="shared" si="2"/>
        <v>10</v>
      </c>
      <c r="J5" s="56">
        <v>10</v>
      </c>
      <c r="K5" s="57"/>
      <c r="L5" s="57"/>
      <c r="M5" s="58"/>
      <c r="N5" s="58"/>
      <c r="O5" s="59"/>
      <c r="P5" s="60">
        <f t="shared" si="3"/>
        <v>0</v>
      </c>
      <c r="Q5" s="87"/>
      <c r="R5" s="62"/>
      <c r="S5" s="68"/>
      <c r="T5" s="68"/>
      <c r="U5" s="68"/>
      <c r="V5" s="69"/>
      <c r="W5" s="76"/>
      <c r="X5" s="61">
        <f t="shared" ref="X5:X39" si="4">SUM(S5:W5)</f>
        <v>0</v>
      </c>
      <c r="Y5" s="87"/>
      <c r="Z5" s="56"/>
      <c r="AA5" s="57"/>
      <c r="AB5" s="57"/>
      <c r="AC5" s="57"/>
      <c r="AD5" s="58"/>
      <c r="AE5" s="59"/>
      <c r="AF5" s="61">
        <f t="shared" ref="AF5:AF39" si="5">SUM(AA5:AE5)</f>
        <v>0</v>
      </c>
      <c r="AG5" s="87"/>
      <c r="AH5" s="56"/>
      <c r="AI5" s="57"/>
      <c r="AJ5" s="58"/>
      <c r="AK5" s="57"/>
      <c r="AL5" s="58"/>
      <c r="AM5" s="58"/>
      <c r="AN5" s="59"/>
      <c r="AO5" s="40">
        <f t="shared" ref="AO5:AO39" si="6">SUM(AI5:AN5)</f>
        <v>0</v>
      </c>
    </row>
    <row r="6" spans="1:41" ht="21.75" customHeight="1" x14ac:dyDescent="0.25">
      <c r="A6" s="7" t="s">
        <v>32</v>
      </c>
      <c r="B6" s="33">
        <v>8603</v>
      </c>
      <c r="C6" s="7">
        <v>7279</v>
      </c>
      <c r="D6" s="7">
        <v>7291</v>
      </c>
      <c r="E6" s="17">
        <f t="shared" si="0"/>
        <v>12</v>
      </c>
      <c r="F6" s="7">
        <v>117346</v>
      </c>
      <c r="G6" s="7">
        <f>+F6+120</f>
        <v>117466</v>
      </c>
      <c r="H6" s="17">
        <f t="shared" si="1"/>
        <v>120</v>
      </c>
      <c r="I6" s="37">
        <f t="shared" si="2"/>
        <v>9</v>
      </c>
      <c r="J6" s="56">
        <v>9</v>
      </c>
      <c r="K6" s="57"/>
      <c r="L6" s="57"/>
      <c r="M6" s="58"/>
      <c r="N6" s="58"/>
      <c r="O6" s="59"/>
      <c r="P6" s="60">
        <f t="shared" si="3"/>
        <v>0</v>
      </c>
      <c r="Q6" s="87"/>
      <c r="R6" s="62"/>
      <c r="S6" s="68"/>
      <c r="T6" s="68"/>
      <c r="U6" s="68"/>
      <c r="V6" s="69"/>
      <c r="W6" s="76"/>
      <c r="X6" s="61">
        <f t="shared" si="4"/>
        <v>0</v>
      </c>
      <c r="Y6" s="87"/>
      <c r="Z6" s="56"/>
      <c r="AA6" s="57"/>
      <c r="AB6" s="57"/>
      <c r="AC6" s="57"/>
      <c r="AD6" s="58"/>
      <c r="AE6" s="59"/>
      <c r="AF6" s="61">
        <f t="shared" si="5"/>
        <v>0</v>
      </c>
      <c r="AG6" s="87"/>
      <c r="AH6" s="56"/>
      <c r="AI6" s="57"/>
      <c r="AJ6" s="58"/>
      <c r="AK6" s="57"/>
      <c r="AL6" s="58"/>
      <c r="AM6" s="58"/>
      <c r="AN6" s="59"/>
      <c r="AO6" s="40">
        <f t="shared" si="6"/>
        <v>0</v>
      </c>
    </row>
    <row r="7" spans="1:41" ht="21.75" customHeight="1" x14ac:dyDescent="0.25">
      <c r="A7" s="7" t="s">
        <v>0</v>
      </c>
      <c r="B7" s="33">
        <v>8604</v>
      </c>
      <c r="C7" s="7">
        <v>9122</v>
      </c>
      <c r="D7" s="7">
        <f>+C7+3</f>
        <v>9125</v>
      </c>
      <c r="E7" s="17">
        <f t="shared" si="0"/>
        <v>3</v>
      </c>
      <c r="F7" s="7">
        <v>94764</v>
      </c>
      <c r="G7" s="7">
        <f>+F7+80</f>
        <v>94844</v>
      </c>
      <c r="H7" s="17">
        <f t="shared" si="1"/>
        <v>80</v>
      </c>
      <c r="I7" s="37">
        <f t="shared" si="2"/>
        <v>4</v>
      </c>
      <c r="J7" s="56">
        <v>1</v>
      </c>
      <c r="K7" s="57"/>
      <c r="L7" s="57"/>
      <c r="M7" s="58"/>
      <c r="N7" s="58"/>
      <c r="O7" s="59"/>
      <c r="P7" s="60">
        <f t="shared" si="3"/>
        <v>0</v>
      </c>
      <c r="Q7" s="87"/>
      <c r="R7" s="62"/>
      <c r="S7" s="68">
        <v>2</v>
      </c>
      <c r="T7" s="68"/>
      <c r="U7" s="68"/>
      <c r="V7" s="69">
        <v>1</v>
      </c>
      <c r="W7" s="76"/>
      <c r="X7" s="61">
        <f t="shared" si="4"/>
        <v>3</v>
      </c>
      <c r="Y7" s="87"/>
      <c r="Z7" s="56"/>
      <c r="AA7" s="57"/>
      <c r="AB7" s="57"/>
      <c r="AC7" s="57"/>
      <c r="AD7" s="58"/>
      <c r="AE7" s="59"/>
      <c r="AF7" s="61">
        <f t="shared" si="5"/>
        <v>0</v>
      </c>
      <c r="AG7" s="87"/>
      <c r="AH7" s="56"/>
      <c r="AI7" s="57"/>
      <c r="AJ7" s="58"/>
      <c r="AK7" s="57"/>
      <c r="AL7" s="58"/>
      <c r="AM7" s="58"/>
      <c r="AN7" s="59"/>
      <c r="AO7" s="40">
        <f t="shared" si="6"/>
        <v>0</v>
      </c>
    </row>
    <row r="8" spans="1:41" ht="21.75" customHeight="1" x14ac:dyDescent="0.25">
      <c r="A8" s="7" t="s">
        <v>1</v>
      </c>
      <c r="B8" s="33">
        <v>8605</v>
      </c>
      <c r="C8" s="7">
        <v>2911</v>
      </c>
      <c r="D8" s="7">
        <v>2916</v>
      </c>
      <c r="E8" s="17">
        <f t="shared" si="0"/>
        <v>5</v>
      </c>
      <c r="F8" s="7">
        <v>38645</v>
      </c>
      <c r="G8" s="7">
        <v>38743</v>
      </c>
      <c r="H8" s="17">
        <f t="shared" si="1"/>
        <v>98</v>
      </c>
      <c r="I8" s="37">
        <f t="shared" si="2"/>
        <v>4</v>
      </c>
      <c r="J8" s="56">
        <v>4</v>
      </c>
      <c r="K8" s="57"/>
      <c r="L8" s="57"/>
      <c r="M8" s="58"/>
      <c r="N8" s="58"/>
      <c r="O8" s="59"/>
      <c r="P8" s="60">
        <f t="shared" si="3"/>
        <v>0</v>
      </c>
      <c r="Q8" s="87"/>
      <c r="R8" s="62"/>
      <c r="S8" s="68"/>
      <c r="T8" s="68"/>
      <c r="U8" s="68"/>
      <c r="V8" s="69"/>
      <c r="W8" s="76"/>
      <c r="X8" s="61">
        <f t="shared" si="4"/>
        <v>0</v>
      </c>
      <c r="Y8" s="87"/>
      <c r="Z8" s="56"/>
      <c r="AA8" s="57"/>
      <c r="AB8" s="57"/>
      <c r="AC8" s="57"/>
      <c r="AD8" s="58"/>
      <c r="AE8" s="59"/>
      <c r="AF8" s="61">
        <f t="shared" si="5"/>
        <v>0</v>
      </c>
      <c r="AG8" s="87"/>
      <c r="AH8" s="56"/>
      <c r="AI8" s="57"/>
      <c r="AJ8" s="58"/>
      <c r="AK8" s="57"/>
      <c r="AL8" s="58"/>
      <c r="AM8" s="58"/>
      <c r="AN8" s="59"/>
      <c r="AO8" s="40">
        <f t="shared" si="6"/>
        <v>0</v>
      </c>
    </row>
    <row r="9" spans="1:41" ht="21.75" customHeight="1" x14ac:dyDescent="0.25">
      <c r="A9" s="7" t="s">
        <v>2</v>
      </c>
      <c r="B9" s="33">
        <v>8606</v>
      </c>
      <c r="C9" s="7">
        <v>10234</v>
      </c>
      <c r="D9" s="7">
        <v>10243</v>
      </c>
      <c r="E9" s="17">
        <f t="shared" si="0"/>
        <v>9</v>
      </c>
      <c r="F9" s="7">
        <v>127152</v>
      </c>
      <c r="G9" s="7">
        <v>127316</v>
      </c>
      <c r="H9" s="17">
        <f t="shared" si="1"/>
        <v>164</v>
      </c>
      <c r="I9" s="37">
        <f t="shared" si="2"/>
        <v>10</v>
      </c>
      <c r="J9" s="56">
        <v>10</v>
      </c>
      <c r="K9" s="57"/>
      <c r="L9" s="57"/>
      <c r="M9" s="58"/>
      <c r="N9" s="58"/>
      <c r="O9" s="59"/>
      <c r="P9" s="60">
        <f t="shared" si="3"/>
        <v>0</v>
      </c>
      <c r="Q9" s="87"/>
      <c r="R9" s="62"/>
      <c r="S9" s="68"/>
      <c r="T9" s="68"/>
      <c r="U9" s="68"/>
      <c r="V9" s="69"/>
      <c r="W9" s="76"/>
      <c r="X9" s="61">
        <f t="shared" si="4"/>
        <v>0</v>
      </c>
      <c r="Y9" s="87"/>
      <c r="Z9" s="56"/>
      <c r="AA9" s="57"/>
      <c r="AB9" s="57"/>
      <c r="AC9" s="57"/>
      <c r="AD9" s="58"/>
      <c r="AE9" s="59"/>
      <c r="AF9" s="61">
        <f t="shared" si="5"/>
        <v>0</v>
      </c>
      <c r="AG9" s="87"/>
      <c r="AH9" s="56"/>
      <c r="AI9" s="57"/>
      <c r="AJ9" s="58"/>
      <c r="AK9" s="57"/>
      <c r="AL9" s="58"/>
      <c r="AM9" s="58"/>
      <c r="AN9" s="59"/>
      <c r="AO9" s="40">
        <f t="shared" si="6"/>
        <v>0</v>
      </c>
    </row>
    <row r="10" spans="1:41" ht="21.75" customHeight="1" x14ac:dyDescent="0.25">
      <c r="A10" s="7" t="s">
        <v>3</v>
      </c>
      <c r="B10" s="33">
        <v>8607</v>
      </c>
      <c r="C10" s="7">
        <v>8856</v>
      </c>
      <c r="D10" s="7">
        <v>8866</v>
      </c>
      <c r="E10" s="17">
        <f t="shared" si="0"/>
        <v>10</v>
      </c>
      <c r="F10" s="7">
        <v>85098</v>
      </c>
      <c r="G10" s="7">
        <f>+F10+150</f>
        <v>85248</v>
      </c>
      <c r="H10" s="17">
        <f t="shared" si="1"/>
        <v>150</v>
      </c>
      <c r="I10" s="37">
        <f t="shared" si="2"/>
        <v>9</v>
      </c>
      <c r="J10" s="56">
        <v>9</v>
      </c>
      <c r="K10" s="57"/>
      <c r="L10" s="57"/>
      <c r="M10" s="58"/>
      <c r="N10" s="58"/>
      <c r="O10" s="59"/>
      <c r="P10" s="60">
        <f t="shared" si="3"/>
        <v>0</v>
      </c>
      <c r="Q10" s="87"/>
      <c r="R10" s="62"/>
      <c r="S10" s="68"/>
      <c r="T10" s="68"/>
      <c r="U10" s="68"/>
      <c r="V10" s="69"/>
      <c r="W10" s="76"/>
      <c r="X10" s="61">
        <f t="shared" si="4"/>
        <v>0</v>
      </c>
      <c r="Y10" s="87"/>
      <c r="Z10" s="56"/>
      <c r="AA10" s="57"/>
      <c r="AB10" s="57"/>
      <c r="AC10" s="57"/>
      <c r="AD10" s="58"/>
      <c r="AE10" s="59"/>
      <c r="AF10" s="61">
        <f t="shared" si="5"/>
        <v>0</v>
      </c>
      <c r="AG10" s="87"/>
      <c r="AH10" s="56"/>
      <c r="AI10" s="57"/>
      <c r="AJ10" s="58"/>
      <c r="AK10" s="57"/>
      <c r="AL10" s="58"/>
      <c r="AM10" s="58"/>
      <c r="AN10" s="59"/>
      <c r="AO10" s="40">
        <f t="shared" si="6"/>
        <v>0</v>
      </c>
    </row>
    <row r="11" spans="1:41" ht="21.75" customHeight="1" x14ac:dyDescent="0.25">
      <c r="A11" s="7" t="s">
        <v>4</v>
      </c>
      <c r="B11" s="33">
        <v>8608</v>
      </c>
      <c r="C11" s="7">
        <v>10208</v>
      </c>
      <c r="D11" s="7">
        <v>10219</v>
      </c>
      <c r="E11" s="17">
        <f t="shared" si="0"/>
        <v>11</v>
      </c>
      <c r="F11" s="7">
        <v>133850</v>
      </c>
      <c r="G11" s="7">
        <v>134050</v>
      </c>
      <c r="H11" s="17">
        <f t="shared" si="1"/>
        <v>200</v>
      </c>
      <c r="I11" s="37">
        <f t="shared" si="2"/>
        <v>12</v>
      </c>
      <c r="J11" s="62">
        <v>12</v>
      </c>
      <c r="K11" s="57"/>
      <c r="L11" s="57"/>
      <c r="M11" s="58"/>
      <c r="N11" s="58"/>
      <c r="O11" s="59"/>
      <c r="P11" s="60">
        <f t="shared" si="3"/>
        <v>0</v>
      </c>
      <c r="Q11" s="87"/>
      <c r="R11" s="62"/>
      <c r="S11" s="68"/>
      <c r="T11" s="68"/>
      <c r="U11" s="68"/>
      <c r="V11" s="69"/>
      <c r="W11" s="76"/>
      <c r="X11" s="61">
        <f t="shared" si="4"/>
        <v>0</v>
      </c>
      <c r="Y11" s="87"/>
      <c r="Z11" s="56"/>
      <c r="AA11" s="57"/>
      <c r="AB11" s="57"/>
      <c r="AC11" s="57"/>
      <c r="AD11" s="58"/>
      <c r="AE11" s="59"/>
      <c r="AF11" s="61">
        <f t="shared" si="5"/>
        <v>0</v>
      </c>
      <c r="AG11" s="87"/>
      <c r="AH11" s="56"/>
      <c r="AI11" s="57"/>
      <c r="AJ11" s="58"/>
      <c r="AK11" s="57"/>
      <c r="AL11" s="58"/>
      <c r="AM11" s="58"/>
      <c r="AN11" s="59"/>
      <c r="AO11" s="40">
        <f t="shared" si="6"/>
        <v>0</v>
      </c>
    </row>
    <row r="12" spans="1:41" ht="21.75" customHeight="1" x14ac:dyDescent="0.25">
      <c r="A12" s="7" t="s">
        <v>5</v>
      </c>
      <c r="B12" s="33">
        <v>8609</v>
      </c>
      <c r="C12" s="7">
        <v>10957</v>
      </c>
      <c r="D12" s="7">
        <v>10967</v>
      </c>
      <c r="E12" s="17">
        <f t="shared" si="0"/>
        <v>10</v>
      </c>
      <c r="F12" s="7">
        <v>143698</v>
      </c>
      <c r="G12" s="7">
        <v>143850</v>
      </c>
      <c r="H12" s="17">
        <f t="shared" si="1"/>
        <v>152</v>
      </c>
      <c r="I12" s="37">
        <f t="shared" si="2"/>
        <v>8</v>
      </c>
      <c r="J12" s="56">
        <v>8</v>
      </c>
      <c r="K12" s="57"/>
      <c r="L12" s="57"/>
      <c r="M12" s="58"/>
      <c r="N12" s="58"/>
      <c r="O12" s="59"/>
      <c r="P12" s="60">
        <f t="shared" si="3"/>
        <v>0</v>
      </c>
      <c r="Q12" s="87"/>
      <c r="R12" s="62"/>
      <c r="S12" s="68"/>
      <c r="T12" s="68"/>
      <c r="U12" s="68"/>
      <c r="V12" s="69"/>
      <c r="W12" s="76"/>
      <c r="X12" s="61">
        <f t="shared" si="4"/>
        <v>0</v>
      </c>
      <c r="Y12" s="87"/>
      <c r="Z12" s="56"/>
      <c r="AA12" s="57"/>
      <c r="AB12" s="57"/>
      <c r="AC12" s="57"/>
      <c r="AD12" s="58"/>
      <c r="AE12" s="59"/>
      <c r="AF12" s="61">
        <f t="shared" si="5"/>
        <v>0</v>
      </c>
      <c r="AG12" s="87"/>
      <c r="AH12" s="56"/>
      <c r="AI12" s="57"/>
      <c r="AJ12" s="58"/>
      <c r="AK12" s="57"/>
      <c r="AL12" s="58"/>
      <c r="AM12" s="58"/>
      <c r="AN12" s="59"/>
      <c r="AO12" s="40">
        <f t="shared" si="6"/>
        <v>0</v>
      </c>
    </row>
    <row r="13" spans="1:41" ht="21.75" customHeight="1" x14ac:dyDescent="0.25">
      <c r="A13" s="7" t="s">
        <v>6</v>
      </c>
      <c r="B13" s="33">
        <v>8610</v>
      </c>
      <c r="C13" s="7">
        <v>6434</v>
      </c>
      <c r="D13" s="7">
        <v>6443</v>
      </c>
      <c r="E13" s="17">
        <f t="shared" si="0"/>
        <v>9</v>
      </c>
      <c r="F13" s="7">
        <v>26587</v>
      </c>
      <c r="G13" s="7">
        <f>+F13+100</f>
        <v>26687</v>
      </c>
      <c r="H13" s="17">
        <f t="shared" si="1"/>
        <v>100</v>
      </c>
      <c r="I13" s="37">
        <f t="shared" si="2"/>
        <v>6</v>
      </c>
      <c r="J13" s="56">
        <v>6</v>
      </c>
      <c r="K13" s="57"/>
      <c r="L13" s="57"/>
      <c r="M13" s="58"/>
      <c r="N13" s="58"/>
      <c r="O13" s="59"/>
      <c r="P13" s="60">
        <f t="shared" si="3"/>
        <v>0</v>
      </c>
      <c r="Q13" s="87"/>
      <c r="R13" s="62"/>
      <c r="S13" s="68"/>
      <c r="T13" s="68"/>
      <c r="U13" s="68"/>
      <c r="V13" s="69"/>
      <c r="W13" s="76"/>
      <c r="X13" s="61">
        <f t="shared" si="4"/>
        <v>0</v>
      </c>
      <c r="Y13" s="87"/>
      <c r="Z13" s="56"/>
      <c r="AA13" s="57"/>
      <c r="AB13" s="57"/>
      <c r="AC13" s="57"/>
      <c r="AD13" s="58"/>
      <c r="AE13" s="59"/>
      <c r="AF13" s="61">
        <f t="shared" si="5"/>
        <v>0</v>
      </c>
      <c r="AG13" s="87"/>
      <c r="AH13" s="56"/>
      <c r="AI13" s="57"/>
      <c r="AJ13" s="58"/>
      <c r="AK13" s="57"/>
      <c r="AL13" s="58"/>
      <c r="AM13" s="58"/>
      <c r="AN13" s="59"/>
      <c r="AO13" s="40">
        <f t="shared" si="6"/>
        <v>0</v>
      </c>
    </row>
    <row r="14" spans="1:41" ht="21.75" customHeight="1" x14ac:dyDescent="0.25">
      <c r="A14" s="7" t="s">
        <v>7</v>
      </c>
      <c r="B14" s="33">
        <v>8611</v>
      </c>
      <c r="C14" s="7"/>
      <c r="D14" s="7"/>
      <c r="E14" s="17">
        <f t="shared" si="0"/>
        <v>0</v>
      </c>
      <c r="F14" s="7"/>
      <c r="G14" s="7"/>
      <c r="H14" s="17">
        <f t="shared" si="1"/>
        <v>0</v>
      </c>
      <c r="I14" s="37">
        <f t="shared" si="2"/>
        <v>0</v>
      </c>
      <c r="J14" s="56"/>
      <c r="K14" s="57"/>
      <c r="L14" s="57"/>
      <c r="M14" s="58"/>
      <c r="N14" s="58"/>
      <c r="O14" s="59"/>
      <c r="P14" s="60">
        <f t="shared" si="3"/>
        <v>0</v>
      </c>
      <c r="Q14" s="87"/>
      <c r="R14" s="62"/>
      <c r="S14" s="68"/>
      <c r="T14" s="68"/>
      <c r="U14" s="68"/>
      <c r="V14" s="69"/>
      <c r="W14" s="76"/>
      <c r="X14" s="61">
        <f t="shared" si="4"/>
        <v>0</v>
      </c>
      <c r="Y14" s="87"/>
      <c r="Z14" s="56"/>
      <c r="AA14" s="57"/>
      <c r="AB14" s="57"/>
      <c r="AC14" s="57"/>
      <c r="AD14" s="58"/>
      <c r="AE14" s="59"/>
      <c r="AF14" s="61">
        <f t="shared" si="5"/>
        <v>0</v>
      </c>
      <c r="AG14" s="87"/>
      <c r="AH14" s="56"/>
      <c r="AI14" s="57"/>
      <c r="AJ14" s="58"/>
      <c r="AK14" s="57"/>
      <c r="AL14" s="58"/>
      <c r="AM14" s="58"/>
      <c r="AN14" s="59"/>
      <c r="AO14" s="40">
        <f t="shared" si="6"/>
        <v>0</v>
      </c>
    </row>
    <row r="15" spans="1:41" ht="21.75" customHeight="1" x14ac:dyDescent="0.25">
      <c r="A15" s="7" t="s">
        <v>8</v>
      </c>
      <c r="B15" s="33">
        <v>8612</v>
      </c>
      <c r="C15" s="7"/>
      <c r="D15" s="7"/>
      <c r="E15" s="17">
        <f t="shared" si="0"/>
        <v>0</v>
      </c>
      <c r="F15" s="7"/>
      <c r="G15" s="7"/>
      <c r="H15" s="17">
        <f t="shared" si="1"/>
        <v>0</v>
      </c>
      <c r="I15" s="37">
        <f t="shared" si="2"/>
        <v>0</v>
      </c>
      <c r="J15" s="56"/>
      <c r="K15" s="57"/>
      <c r="L15" s="57"/>
      <c r="M15" s="58"/>
      <c r="N15" s="58"/>
      <c r="O15" s="59"/>
      <c r="P15" s="60">
        <f t="shared" si="3"/>
        <v>0</v>
      </c>
      <c r="Q15" s="87"/>
      <c r="R15" s="62"/>
      <c r="S15" s="68"/>
      <c r="T15" s="68"/>
      <c r="U15" s="68"/>
      <c r="V15" s="69"/>
      <c r="W15" s="76"/>
      <c r="X15" s="61">
        <f t="shared" si="4"/>
        <v>0</v>
      </c>
      <c r="Y15" s="87"/>
      <c r="Z15" s="56"/>
      <c r="AA15" s="57"/>
      <c r="AB15" s="57"/>
      <c r="AC15" s="57"/>
      <c r="AD15" s="58"/>
      <c r="AE15" s="59"/>
      <c r="AF15" s="61">
        <f>SUM(AA15:AE15)</f>
        <v>0</v>
      </c>
      <c r="AG15" s="87"/>
      <c r="AH15" s="56"/>
      <c r="AI15" s="57"/>
      <c r="AJ15" s="58"/>
      <c r="AK15" s="57"/>
      <c r="AL15" s="58"/>
      <c r="AM15" s="58"/>
      <c r="AN15" s="59"/>
      <c r="AO15" s="40">
        <f t="shared" si="6"/>
        <v>0</v>
      </c>
    </row>
    <row r="16" spans="1:41" ht="21.75" customHeight="1" x14ac:dyDescent="0.25">
      <c r="A16" s="7" t="s">
        <v>9</v>
      </c>
      <c r="B16" s="33">
        <v>8613</v>
      </c>
      <c r="C16" s="7">
        <v>10757</v>
      </c>
      <c r="D16" s="7">
        <v>10762</v>
      </c>
      <c r="E16" s="17">
        <f t="shared" si="0"/>
        <v>5</v>
      </c>
      <c r="F16" s="7">
        <v>93256</v>
      </c>
      <c r="G16" s="7">
        <f>+F16+80</f>
        <v>93336</v>
      </c>
      <c r="H16" s="17">
        <f t="shared" si="1"/>
        <v>80</v>
      </c>
      <c r="I16" s="37">
        <f t="shared" si="2"/>
        <v>5</v>
      </c>
      <c r="J16" s="56">
        <v>5</v>
      </c>
      <c r="K16" s="57"/>
      <c r="L16" s="57"/>
      <c r="M16" s="58"/>
      <c r="N16" s="58"/>
      <c r="O16" s="59"/>
      <c r="P16" s="60">
        <f t="shared" si="3"/>
        <v>0</v>
      </c>
      <c r="Q16" s="87"/>
      <c r="R16" s="62"/>
      <c r="S16" s="68"/>
      <c r="T16" s="68"/>
      <c r="U16" s="68"/>
      <c r="V16" s="69"/>
      <c r="W16" s="76"/>
      <c r="X16" s="61">
        <f t="shared" si="4"/>
        <v>0</v>
      </c>
      <c r="Y16" s="87"/>
      <c r="Z16" s="56"/>
      <c r="AA16" s="57"/>
      <c r="AB16" s="57"/>
      <c r="AC16" s="57"/>
      <c r="AD16" s="58"/>
      <c r="AE16" s="59"/>
      <c r="AF16" s="61">
        <f t="shared" si="5"/>
        <v>0</v>
      </c>
      <c r="AG16" s="87"/>
      <c r="AH16" s="56"/>
      <c r="AI16" s="57"/>
      <c r="AJ16" s="58"/>
      <c r="AK16" s="57"/>
      <c r="AL16" s="58"/>
      <c r="AM16" s="58"/>
      <c r="AN16" s="59"/>
      <c r="AO16" s="40">
        <f t="shared" si="6"/>
        <v>0</v>
      </c>
    </row>
    <row r="17" spans="1:41" ht="21.75" customHeight="1" x14ac:dyDescent="0.25">
      <c r="A17" s="7" t="s">
        <v>10</v>
      </c>
      <c r="B17" s="33">
        <v>8614</v>
      </c>
      <c r="C17" s="7">
        <v>8613</v>
      </c>
      <c r="D17" s="7">
        <v>8618</v>
      </c>
      <c r="E17" s="17">
        <f t="shared" si="0"/>
        <v>5</v>
      </c>
      <c r="F17" s="7">
        <v>118963</v>
      </c>
      <c r="G17" s="7">
        <v>119015</v>
      </c>
      <c r="H17" s="17">
        <f t="shared" si="1"/>
        <v>52</v>
      </c>
      <c r="I17" s="37">
        <f t="shared" si="2"/>
        <v>4</v>
      </c>
      <c r="J17" s="56"/>
      <c r="K17" s="57"/>
      <c r="L17" s="57"/>
      <c r="M17" s="58"/>
      <c r="N17" s="58"/>
      <c r="O17" s="59"/>
      <c r="P17" s="60">
        <f t="shared" si="3"/>
        <v>0</v>
      </c>
      <c r="Q17" s="87"/>
      <c r="R17" s="62">
        <v>1</v>
      </c>
      <c r="S17" s="68">
        <v>1</v>
      </c>
      <c r="T17" s="68"/>
      <c r="U17" s="68">
        <v>1</v>
      </c>
      <c r="V17" s="69">
        <v>1</v>
      </c>
      <c r="W17" s="76"/>
      <c r="X17" s="61">
        <f t="shared" si="4"/>
        <v>3</v>
      </c>
      <c r="Y17" s="87"/>
      <c r="Z17" s="56"/>
      <c r="AA17" s="57"/>
      <c r="AB17" s="57"/>
      <c r="AC17" s="57"/>
      <c r="AD17" s="58"/>
      <c r="AE17" s="59"/>
      <c r="AF17" s="61">
        <f t="shared" si="5"/>
        <v>0</v>
      </c>
      <c r="AG17" s="87"/>
      <c r="AH17" s="56"/>
      <c r="AI17" s="57"/>
      <c r="AJ17" s="57"/>
      <c r="AK17" s="57"/>
      <c r="AL17" s="58"/>
      <c r="AM17" s="58"/>
      <c r="AN17" s="59"/>
      <c r="AO17" s="40">
        <f t="shared" si="6"/>
        <v>0</v>
      </c>
    </row>
    <row r="18" spans="1:41" ht="21.75" customHeight="1" x14ac:dyDescent="0.25">
      <c r="A18" s="7" t="s">
        <v>11</v>
      </c>
      <c r="B18" s="33">
        <v>8615</v>
      </c>
      <c r="C18" s="7"/>
      <c r="D18" s="7"/>
      <c r="E18" s="17">
        <f t="shared" si="0"/>
        <v>0</v>
      </c>
      <c r="F18" s="7"/>
      <c r="G18" s="7"/>
      <c r="H18" s="17">
        <f t="shared" si="1"/>
        <v>0</v>
      </c>
      <c r="I18" s="37">
        <f t="shared" si="2"/>
        <v>0</v>
      </c>
      <c r="J18" s="56"/>
      <c r="K18" s="57"/>
      <c r="L18" s="57"/>
      <c r="M18" s="58"/>
      <c r="N18" s="58"/>
      <c r="O18" s="59"/>
      <c r="P18" s="60">
        <f t="shared" si="3"/>
        <v>0</v>
      </c>
      <c r="Q18" s="87"/>
      <c r="R18" s="62"/>
      <c r="S18" s="68"/>
      <c r="T18" s="68"/>
      <c r="U18" s="68"/>
      <c r="V18" s="69"/>
      <c r="W18" s="76"/>
      <c r="X18" s="61">
        <f t="shared" si="4"/>
        <v>0</v>
      </c>
      <c r="Y18" s="87"/>
      <c r="Z18" s="56"/>
      <c r="AA18" s="57"/>
      <c r="AB18" s="57"/>
      <c r="AC18" s="57"/>
      <c r="AD18" s="58"/>
      <c r="AE18" s="59"/>
      <c r="AF18" s="61">
        <f t="shared" si="5"/>
        <v>0</v>
      </c>
      <c r="AG18" s="87"/>
      <c r="AH18" s="56"/>
      <c r="AI18" s="57"/>
      <c r="AJ18" s="57"/>
      <c r="AK18" s="57"/>
      <c r="AL18" s="58"/>
      <c r="AM18" s="58"/>
      <c r="AN18" s="59"/>
      <c r="AO18" s="40">
        <f t="shared" si="6"/>
        <v>0</v>
      </c>
    </row>
    <row r="19" spans="1:41" ht="21.75" customHeight="1" x14ac:dyDescent="0.25">
      <c r="A19" s="7" t="s">
        <v>12</v>
      </c>
      <c r="B19" s="33">
        <v>8616</v>
      </c>
      <c r="C19" s="7">
        <v>10027</v>
      </c>
      <c r="D19" s="7">
        <v>10034</v>
      </c>
      <c r="E19" s="17">
        <f t="shared" si="0"/>
        <v>7</v>
      </c>
      <c r="F19" s="7">
        <v>82570</v>
      </c>
      <c r="G19" s="7">
        <f>+F19+80</f>
        <v>82650</v>
      </c>
      <c r="H19" s="17">
        <f t="shared" si="1"/>
        <v>80</v>
      </c>
      <c r="I19" s="37">
        <f t="shared" si="2"/>
        <v>5</v>
      </c>
      <c r="J19" s="56">
        <v>5</v>
      </c>
      <c r="K19" s="57"/>
      <c r="L19" s="57"/>
      <c r="M19" s="58"/>
      <c r="N19" s="58"/>
      <c r="O19" s="59"/>
      <c r="P19" s="60">
        <f t="shared" si="3"/>
        <v>0</v>
      </c>
      <c r="Q19" s="87"/>
      <c r="R19" s="62"/>
      <c r="S19" s="68"/>
      <c r="T19" s="68"/>
      <c r="U19" s="68"/>
      <c r="V19" s="69"/>
      <c r="W19" s="76"/>
      <c r="X19" s="61">
        <f t="shared" si="4"/>
        <v>0</v>
      </c>
      <c r="Y19" s="87"/>
      <c r="Z19" s="56"/>
      <c r="AA19" s="57"/>
      <c r="AB19" s="57"/>
      <c r="AC19" s="57"/>
      <c r="AD19" s="58"/>
      <c r="AE19" s="59"/>
      <c r="AF19" s="61">
        <f t="shared" si="5"/>
        <v>0</v>
      </c>
      <c r="AG19" s="87"/>
      <c r="AH19" s="56"/>
      <c r="AI19" s="57"/>
      <c r="AJ19" s="57"/>
      <c r="AK19" s="57"/>
      <c r="AL19" s="58"/>
      <c r="AM19" s="58"/>
      <c r="AN19" s="59"/>
      <c r="AO19" s="40">
        <f t="shared" si="6"/>
        <v>0</v>
      </c>
    </row>
    <row r="20" spans="1:41" ht="21.75" customHeight="1" x14ac:dyDescent="0.25">
      <c r="A20" s="7" t="s">
        <v>13</v>
      </c>
      <c r="B20" s="33">
        <v>8617</v>
      </c>
      <c r="C20" s="7">
        <v>9164</v>
      </c>
      <c r="D20" s="7">
        <v>9174</v>
      </c>
      <c r="E20" s="17">
        <f t="shared" si="0"/>
        <v>10</v>
      </c>
      <c r="F20" s="7">
        <v>111821</v>
      </c>
      <c r="G20" s="7">
        <v>111941</v>
      </c>
      <c r="H20" s="17">
        <f t="shared" si="1"/>
        <v>120</v>
      </c>
      <c r="I20" s="37">
        <f t="shared" si="2"/>
        <v>8</v>
      </c>
      <c r="J20" s="56"/>
      <c r="K20" s="57"/>
      <c r="L20" s="57"/>
      <c r="M20" s="58"/>
      <c r="N20" s="58"/>
      <c r="O20" s="59"/>
      <c r="P20" s="60">
        <f t="shared" si="3"/>
        <v>0</v>
      </c>
      <c r="Q20" s="87"/>
      <c r="R20" s="62"/>
      <c r="S20" s="68">
        <v>8</v>
      </c>
      <c r="T20" s="68"/>
      <c r="U20" s="68"/>
      <c r="V20" s="69"/>
      <c r="W20" s="76"/>
      <c r="X20" s="61">
        <f t="shared" si="4"/>
        <v>8</v>
      </c>
      <c r="Y20" s="87"/>
      <c r="Z20" s="56"/>
      <c r="AA20" s="57"/>
      <c r="AB20" s="57"/>
      <c r="AC20" s="57"/>
      <c r="AD20" s="58"/>
      <c r="AE20" s="59"/>
      <c r="AF20" s="61">
        <f t="shared" si="5"/>
        <v>0</v>
      </c>
      <c r="AG20" s="87"/>
      <c r="AH20" s="56"/>
      <c r="AI20" s="57"/>
      <c r="AJ20" s="57"/>
      <c r="AK20" s="57"/>
      <c r="AL20" s="58"/>
      <c r="AM20" s="58"/>
      <c r="AN20" s="59"/>
      <c r="AO20" s="40">
        <f t="shared" si="6"/>
        <v>0</v>
      </c>
    </row>
    <row r="21" spans="1:41" ht="21.75" customHeight="1" x14ac:dyDescent="0.25">
      <c r="A21" s="7" t="s">
        <v>14</v>
      </c>
      <c r="B21" s="33">
        <v>8618</v>
      </c>
      <c r="C21" s="7"/>
      <c r="D21" s="7"/>
      <c r="E21" s="17">
        <f t="shared" si="0"/>
        <v>0</v>
      </c>
      <c r="F21" s="7"/>
      <c r="G21" s="7"/>
      <c r="H21" s="17">
        <f t="shared" si="1"/>
        <v>0</v>
      </c>
      <c r="I21" s="37">
        <f t="shared" si="2"/>
        <v>0</v>
      </c>
      <c r="J21" s="56"/>
      <c r="K21" s="57"/>
      <c r="L21" s="57"/>
      <c r="M21" s="58"/>
      <c r="N21" s="58"/>
      <c r="O21" s="59"/>
      <c r="P21" s="60">
        <f t="shared" si="3"/>
        <v>0</v>
      </c>
      <c r="Q21" s="87"/>
      <c r="R21" s="62"/>
      <c r="S21" s="68"/>
      <c r="T21" s="68"/>
      <c r="U21" s="68"/>
      <c r="V21" s="69"/>
      <c r="W21" s="76"/>
      <c r="X21" s="61">
        <f t="shared" si="4"/>
        <v>0</v>
      </c>
      <c r="Y21" s="87"/>
      <c r="Z21" s="56"/>
      <c r="AA21" s="57"/>
      <c r="AB21" s="57"/>
      <c r="AC21" s="57"/>
      <c r="AD21" s="58"/>
      <c r="AE21" s="59"/>
      <c r="AF21" s="61">
        <f t="shared" si="5"/>
        <v>0</v>
      </c>
      <c r="AG21" s="87"/>
      <c r="AH21" s="56"/>
      <c r="AI21" s="57"/>
      <c r="AJ21" s="57"/>
      <c r="AK21" s="57"/>
      <c r="AL21" s="58"/>
      <c r="AM21" s="58"/>
      <c r="AN21" s="59"/>
      <c r="AO21" s="40">
        <f t="shared" si="6"/>
        <v>0</v>
      </c>
    </row>
    <row r="22" spans="1:41" ht="21.75" customHeight="1" x14ac:dyDescent="0.25">
      <c r="A22" s="7" t="s">
        <v>15</v>
      </c>
      <c r="B22" s="33">
        <v>8619</v>
      </c>
      <c r="C22" s="7">
        <v>10451</v>
      </c>
      <c r="D22" s="7">
        <v>10463</v>
      </c>
      <c r="E22" s="17">
        <f t="shared" si="0"/>
        <v>12</v>
      </c>
      <c r="F22" s="7">
        <v>113520</v>
      </c>
      <c r="G22" s="7">
        <f>+F22+150</f>
        <v>113670</v>
      </c>
      <c r="H22" s="17">
        <f t="shared" si="1"/>
        <v>150</v>
      </c>
      <c r="I22" s="37">
        <f t="shared" si="2"/>
        <v>13</v>
      </c>
      <c r="J22" s="56"/>
      <c r="K22" s="57"/>
      <c r="L22" s="57"/>
      <c r="M22" s="58"/>
      <c r="N22" s="58"/>
      <c r="O22" s="59"/>
      <c r="P22" s="60">
        <f t="shared" si="3"/>
        <v>0</v>
      </c>
      <c r="Q22" s="87"/>
      <c r="R22" s="62">
        <v>2</v>
      </c>
      <c r="S22" s="68">
        <v>5</v>
      </c>
      <c r="T22" s="68">
        <v>4</v>
      </c>
      <c r="U22" s="68">
        <v>2</v>
      </c>
      <c r="V22" s="69"/>
      <c r="W22" s="76"/>
      <c r="X22" s="61">
        <f t="shared" si="4"/>
        <v>11</v>
      </c>
      <c r="Y22" s="87"/>
      <c r="Z22" s="56"/>
      <c r="AA22" s="57"/>
      <c r="AB22" s="57"/>
      <c r="AC22" s="57"/>
      <c r="AD22" s="58"/>
      <c r="AE22" s="59"/>
      <c r="AF22" s="61">
        <f t="shared" si="5"/>
        <v>0</v>
      </c>
      <c r="AG22" s="87"/>
      <c r="AH22" s="56"/>
      <c r="AI22" s="57"/>
      <c r="AJ22" s="57"/>
      <c r="AK22" s="57"/>
      <c r="AL22" s="58"/>
      <c r="AM22" s="58"/>
      <c r="AN22" s="59"/>
      <c r="AO22" s="40">
        <f t="shared" si="6"/>
        <v>0</v>
      </c>
    </row>
    <row r="23" spans="1:41" ht="21.75" customHeight="1" x14ac:dyDescent="0.25">
      <c r="A23" s="7" t="s">
        <v>16</v>
      </c>
      <c r="B23" s="33">
        <v>8620</v>
      </c>
      <c r="C23" s="7">
        <v>10338</v>
      </c>
      <c r="D23" s="7">
        <v>10348</v>
      </c>
      <c r="E23" s="17">
        <f t="shared" si="0"/>
        <v>10</v>
      </c>
      <c r="F23" s="7">
        <v>139845</v>
      </c>
      <c r="G23" s="7">
        <v>139942</v>
      </c>
      <c r="H23" s="17">
        <f t="shared" si="1"/>
        <v>97</v>
      </c>
      <c r="I23" s="37">
        <f t="shared" si="2"/>
        <v>11</v>
      </c>
      <c r="J23" s="56">
        <v>11</v>
      </c>
      <c r="K23" s="57"/>
      <c r="L23" s="57"/>
      <c r="M23" s="58"/>
      <c r="N23" s="58"/>
      <c r="O23" s="59"/>
      <c r="P23" s="60">
        <f t="shared" si="3"/>
        <v>0</v>
      </c>
      <c r="Q23" s="87"/>
      <c r="R23" s="62"/>
      <c r="S23" s="68"/>
      <c r="T23" s="68"/>
      <c r="U23" s="68"/>
      <c r="V23" s="69"/>
      <c r="W23" s="76"/>
      <c r="X23" s="61">
        <f t="shared" si="4"/>
        <v>0</v>
      </c>
      <c r="Y23" s="87"/>
      <c r="Z23" s="56"/>
      <c r="AA23" s="57"/>
      <c r="AB23" s="57"/>
      <c r="AC23" s="57"/>
      <c r="AD23" s="58"/>
      <c r="AE23" s="59"/>
      <c r="AF23" s="61">
        <f t="shared" si="5"/>
        <v>0</v>
      </c>
      <c r="AG23" s="87"/>
      <c r="AH23" s="56"/>
      <c r="AI23" s="57"/>
      <c r="AJ23" s="57"/>
      <c r="AK23" s="57"/>
      <c r="AL23" s="58"/>
      <c r="AM23" s="58"/>
      <c r="AN23" s="59"/>
      <c r="AO23" s="40">
        <f t="shared" si="6"/>
        <v>0</v>
      </c>
    </row>
    <row r="24" spans="1:41" ht="21.75" customHeight="1" x14ac:dyDescent="0.25">
      <c r="A24" s="7" t="s">
        <v>17</v>
      </c>
      <c r="B24" s="33">
        <v>8621</v>
      </c>
      <c r="C24" s="7"/>
      <c r="D24" s="7"/>
      <c r="E24" s="17">
        <f t="shared" si="0"/>
        <v>0</v>
      </c>
      <c r="F24" s="7"/>
      <c r="G24" s="7"/>
      <c r="H24" s="17">
        <f t="shared" si="1"/>
        <v>0</v>
      </c>
      <c r="I24" s="37">
        <f t="shared" si="2"/>
        <v>0</v>
      </c>
      <c r="J24" s="56"/>
      <c r="K24" s="57"/>
      <c r="L24" s="57"/>
      <c r="M24" s="58"/>
      <c r="N24" s="58"/>
      <c r="O24" s="59"/>
      <c r="P24" s="60">
        <f t="shared" si="3"/>
        <v>0</v>
      </c>
      <c r="Q24" s="87"/>
      <c r="R24" s="62"/>
      <c r="S24" s="68"/>
      <c r="T24" s="68"/>
      <c r="U24" s="68"/>
      <c r="V24" s="69"/>
      <c r="W24" s="76"/>
      <c r="X24" s="61">
        <f t="shared" si="4"/>
        <v>0</v>
      </c>
      <c r="Y24" s="87"/>
      <c r="Z24" s="56"/>
      <c r="AA24" s="57"/>
      <c r="AB24" s="57"/>
      <c r="AC24" s="57"/>
      <c r="AD24" s="58"/>
      <c r="AE24" s="59"/>
      <c r="AF24" s="61">
        <f t="shared" si="5"/>
        <v>0</v>
      </c>
      <c r="AG24" s="87"/>
      <c r="AH24" s="56"/>
      <c r="AI24" s="57"/>
      <c r="AJ24" s="57"/>
      <c r="AK24" s="57"/>
      <c r="AL24" s="58"/>
      <c r="AM24" s="58"/>
      <c r="AN24" s="59"/>
      <c r="AO24" s="40">
        <f t="shared" si="6"/>
        <v>0</v>
      </c>
    </row>
    <row r="25" spans="1:41" ht="21.75" customHeight="1" x14ac:dyDescent="0.25">
      <c r="A25" s="7" t="s">
        <v>18</v>
      </c>
      <c r="B25" s="33">
        <v>8622</v>
      </c>
      <c r="C25" s="123">
        <v>13750</v>
      </c>
      <c r="D25" s="123">
        <v>13762</v>
      </c>
      <c r="E25" s="124">
        <f t="shared" si="0"/>
        <v>12</v>
      </c>
      <c r="F25" s="123">
        <v>177679</v>
      </c>
      <c r="G25" s="123">
        <v>177854</v>
      </c>
      <c r="H25" s="17">
        <f t="shared" si="1"/>
        <v>175</v>
      </c>
      <c r="I25" s="37">
        <f t="shared" si="2"/>
        <v>10</v>
      </c>
      <c r="J25" s="56">
        <v>1</v>
      </c>
      <c r="K25" s="57"/>
      <c r="L25" s="57"/>
      <c r="M25" s="58"/>
      <c r="N25" s="58"/>
      <c r="O25" s="63"/>
      <c r="P25" s="60">
        <f t="shared" si="3"/>
        <v>0</v>
      </c>
      <c r="Q25" s="87"/>
      <c r="R25" s="62">
        <v>9</v>
      </c>
      <c r="S25" s="68"/>
      <c r="T25" s="68"/>
      <c r="U25" s="68"/>
      <c r="V25" s="69"/>
      <c r="W25" s="76"/>
      <c r="X25" s="61">
        <f t="shared" si="4"/>
        <v>0</v>
      </c>
      <c r="Y25" s="87"/>
      <c r="Z25" s="56"/>
      <c r="AA25" s="57"/>
      <c r="AB25" s="57"/>
      <c r="AC25" s="57"/>
      <c r="AD25" s="58"/>
      <c r="AE25" s="59"/>
      <c r="AF25" s="61">
        <f t="shared" si="5"/>
        <v>0</v>
      </c>
      <c r="AG25" s="87"/>
      <c r="AH25" s="56"/>
      <c r="AI25" s="57"/>
      <c r="AJ25" s="57"/>
      <c r="AK25" s="57"/>
      <c r="AL25" s="58"/>
      <c r="AM25" s="58"/>
      <c r="AN25" s="59"/>
      <c r="AO25" s="40">
        <f t="shared" si="6"/>
        <v>0</v>
      </c>
    </row>
    <row r="26" spans="1:41" ht="21.75" customHeight="1" x14ac:dyDescent="0.25">
      <c r="A26" s="7" t="s">
        <v>19</v>
      </c>
      <c r="B26" s="33">
        <v>8623</v>
      </c>
      <c r="C26" s="7">
        <v>13744</v>
      </c>
      <c r="D26" s="7">
        <v>13756</v>
      </c>
      <c r="E26" s="17">
        <f t="shared" si="0"/>
        <v>12</v>
      </c>
      <c r="F26" s="7">
        <v>180989</v>
      </c>
      <c r="G26" s="7">
        <v>181154</v>
      </c>
      <c r="H26" s="17">
        <f t="shared" si="1"/>
        <v>165</v>
      </c>
      <c r="I26" s="37">
        <f t="shared" si="2"/>
        <v>10</v>
      </c>
      <c r="J26" s="56">
        <v>10</v>
      </c>
      <c r="K26" s="57"/>
      <c r="L26" s="57"/>
      <c r="M26" s="58"/>
      <c r="N26" s="64"/>
      <c r="O26" s="65"/>
      <c r="P26" s="60">
        <f t="shared" si="3"/>
        <v>0</v>
      </c>
      <c r="Q26" s="87"/>
      <c r="R26" s="62"/>
      <c r="S26" s="68"/>
      <c r="T26" s="68"/>
      <c r="U26" s="68"/>
      <c r="V26" s="69"/>
      <c r="W26" s="76"/>
      <c r="X26" s="61">
        <f t="shared" si="4"/>
        <v>0</v>
      </c>
      <c r="Y26" s="87"/>
      <c r="Z26" s="56"/>
      <c r="AA26" s="57"/>
      <c r="AB26" s="66"/>
      <c r="AC26" s="57"/>
      <c r="AD26" s="58"/>
      <c r="AE26" s="59"/>
      <c r="AF26" s="61">
        <f t="shared" si="5"/>
        <v>0</v>
      </c>
      <c r="AG26" s="87"/>
      <c r="AH26" s="56"/>
      <c r="AI26" s="67"/>
      <c r="AJ26" s="57"/>
      <c r="AK26" s="57"/>
      <c r="AL26" s="58"/>
      <c r="AM26" s="58"/>
      <c r="AN26" s="59"/>
      <c r="AO26" s="40">
        <f t="shared" si="6"/>
        <v>0</v>
      </c>
    </row>
    <row r="27" spans="1:41" ht="20.25" customHeight="1" x14ac:dyDescent="0.25">
      <c r="A27" s="7" t="s">
        <v>20</v>
      </c>
      <c r="B27" s="33">
        <v>8624</v>
      </c>
      <c r="C27" s="7"/>
      <c r="D27" s="7"/>
      <c r="E27" s="17">
        <f t="shared" si="0"/>
        <v>0</v>
      </c>
      <c r="F27" s="7"/>
      <c r="G27" s="7"/>
      <c r="H27" s="17">
        <f t="shared" si="1"/>
        <v>0</v>
      </c>
      <c r="I27" s="37">
        <f t="shared" si="2"/>
        <v>0</v>
      </c>
      <c r="J27" s="56"/>
      <c r="K27" s="68"/>
      <c r="L27" s="57"/>
      <c r="M27" s="58"/>
      <c r="N27" s="58"/>
      <c r="O27" s="59"/>
      <c r="P27" s="60">
        <f t="shared" si="3"/>
        <v>0</v>
      </c>
      <c r="Q27" s="87"/>
      <c r="R27" s="62"/>
      <c r="S27" s="68"/>
      <c r="T27" s="68"/>
      <c r="U27" s="68"/>
      <c r="V27" s="69"/>
      <c r="W27" s="76"/>
      <c r="X27" s="61">
        <f t="shared" si="4"/>
        <v>0</v>
      </c>
      <c r="Y27" s="87"/>
      <c r="Z27" s="56"/>
      <c r="AA27" s="57"/>
      <c r="AB27" s="57"/>
      <c r="AC27" s="57"/>
      <c r="AD27" s="58"/>
      <c r="AE27" s="59"/>
      <c r="AF27" s="61">
        <f t="shared" si="5"/>
        <v>0</v>
      </c>
      <c r="AG27" s="87"/>
      <c r="AH27" s="56"/>
      <c r="AI27" s="67"/>
      <c r="AJ27" s="57"/>
      <c r="AK27" s="57"/>
      <c r="AL27" s="58"/>
      <c r="AM27" s="58"/>
      <c r="AN27" s="59"/>
      <c r="AO27" s="40">
        <f t="shared" si="6"/>
        <v>0</v>
      </c>
    </row>
    <row r="28" spans="1:41" ht="21.75" customHeight="1" x14ac:dyDescent="0.25">
      <c r="A28" s="7" t="s">
        <v>21</v>
      </c>
      <c r="B28" s="33">
        <v>8625</v>
      </c>
      <c r="C28" s="7"/>
      <c r="D28" s="7"/>
      <c r="E28" s="17">
        <f t="shared" si="0"/>
        <v>0</v>
      </c>
      <c r="F28" s="7"/>
      <c r="G28" s="7"/>
      <c r="H28" s="17">
        <f t="shared" si="1"/>
        <v>0</v>
      </c>
      <c r="I28" s="37">
        <f t="shared" si="2"/>
        <v>0</v>
      </c>
      <c r="J28" s="56"/>
      <c r="K28" s="57"/>
      <c r="L28" s="57"/>
      <c r="M28" s="58"/>
      <c r="N28" s="58"/>
      <c r="O28" s="59"/>
      <c r="P28" s="60">
        <f t="shared" si="3"/>
        <v>0</v>
      </c>
      <c r="Q28" s="87"/>
      <c r="R28" s="62"/>
      <c r="S28" s="68"/>
      <c r="T28" s="68"/>
      <c r="U28" s="68"/>
      <c r="V28" s="69"/>
      <c r="W28" s="76"/>
      <c r="X28" s="61">
        <f t="shared" si="4"/>
        <v>0</v>
      </c>
      <c r="Y28" s="87"/>
      <c r="Z28" s="56"/>
      <c r="AA28" s="57"/>
      <c r="AB28" s="57"/>
      <c r="AC28" s="57"/>
      <c r="AD28" s="58"/>
      <c r="AE28" s="59"/>
      <c r="AF28" s="61">
        <f t="shared" si="5"/>
        <v>0</v>
      </c>
      <c r="AG28" s="87"/>
      <c r="AH28" s="56"/>
      <c r="AI28" s="67"/>
      <c r="AJ28" s="57"/>
      <c r="AK28" s="57"/>
      <c r="AL28" s="58"/>
      <c r="AM28" s="58"/>
      <c r="AN28" s="59"/>
      <c r="AO28" s="40">
        <f t="shared" si="6"/>
        <v>0</v>
      </c>
    </row>
    <row r="29" spans="1:41" ht="21.75" customHeight="1" x14ac:dyDescent="0.25">
      <c r="A29" s="7" t="s">
        <v>22</v>
      </c>
      <c r="B29" s="33">
        <v>8626</v>
      </c>
      <c r="C29" s="7"/>
      <c r="D29" s="7"/>
      <c r="E29" s="17">
        <f t="shared" si="0"/>
        <v>0</v>
      </c>
      <c r="F29" s="7"/>
      <c r="G29" s="7"/>
      <c r="H29" s="17">
        <f t="shared" si="1"/>
        <v>0</v>
      </c>
      <c r="I29" s="37">
        <f t="shared" si="2"/>
        <v>0</v>
      </c>
      <c r="J29" s="56"/>
      <c r="K29" s="57"/>
      <c r="L29" s="57"/>
      <c r="M29" s="58"/>
      <c r="N29" s="58"/>
      <c r="O29" s="59"/>
      <c r="P29" s="60">
        <f t="shared" si="3"/>
        <v>0</v>
      </c>
      <c r="Q29" s="87"/>
      <c r="R29" s="62"/>
      <c r="S29" s="68"/>
      <c r="T29" s="68"/>
      <c r="U29" s="68"/>
      <c r="V29" s="69"/>
      <c r="W29" s="76"/>
      <c r="X29" s="61">
        <f t="shared" si="4"/>
        <v>0</v>
      </c>
      <c r="Y29" s="87"/>
      <c r="Z29" s="56"/>
      <c r="AA29" s="57"/>
      <c r="AB29" s="57"/>
      <c r="AC29" s="57"/>
      <c r="AD29" s="58"/>
      <c r="AE29" s="59"/>
      <c r="AF29" s="61">
        <f t="shared" si="5"/>
        <v>0</v>
      </c>
      <c r="AG29" s="87"/>
      <c r="AH29" s="56"/>
      <c r="AI29" s="67"/>
      <c r="AJ29" s="57"/>
      <c r="AK29" s="57"/>
      <c r="AL29" s="58"/>
      <c r="AM29" s="58"/>
      <c r="AN29" s="59"/>
      <c r="AO29" s="40">
        <f t="shared" si="6"/>
        <v>0</v>
      </c>
    </row>
    <row r="30" spans="1:41" ht="21.75" customHeight="1" x14ac:dyDescent="0.25">
      <c r="A30" s="7" t="s">
        <v>23</v>
      </c>
      <c r="B30" s="33">
        <v>8627</v>
      </c>
      <c r="C30" s="7">
        <v>11365</v>
      </c>
      <c r="D30" s="7">
        <v>11376</v>
      </c>
      <c r="E30" s="17">
        <f t="shared" si="0"/>
        <v>11</v>
      </c>
      <c r="F30" s="7">
        <v>140431</v>
      </c>
      <c r="G30" s="7">
        <v>140624</v>
      </c>
      <c r="H30" s="17">
        <f t="shared" si="1"/>
        <v>193</v>
      </c>
      <c r="I30" s="37">
        <f t="shared" si="2"/>
        <v>10</v>
      </c>
      <c r="J30" s="56"/>
      <c r="K30" s="57"/>
      <c r="L30" s="57"/>
      <c r="M30" s="58"/>
      <c r="N30" s="58"/>
      <c r="O30" s="59"/>
      <c r="P30" s="60">
        <f t="shared" si="3"/>
        <v>0</v>
      </c>
      <c r="Q30" s="87"/>
      <c r="R30" s="62"/>
      <c r="S30" s="68"/>
      <c r="T30" s="68"/>
      <c r="U30" s="68"/>
      <c r="V30" s="69"/>
      <c r="W30" s="76"/>
      <c r="X30" s="61">
        <f t="shared" si="4"/>
        <v>0</v>
      </c>
      <c r="Y30" s="87"/>
      <c r="Z30" s="56"/>
      <c r="AA30" s="57"/>
      <c r="AB30" s="57"/>
      <c r="AC30" s="57"/>
      <c r="AD30" s="58"/>
      <c r="AE30" s="59"/>
      <c r="AF30" s="61">
        <f t="shared" si="5"/>
        <v>0</v>
      </c>
      <c r="AG30" s="87"/>
      <c r="AH30" s="56">
        <v>10</v>
      </c>
      <c r="AI30" s="67"/>
      <c r="AJ30" s="57"/>
      <c r="AK30" s="122"/>
      <c r="AL30" s="58"/>
      <c r="AM30" s="58"/>
      <c r="AN30" s="59"/>
      <c r="AO30" s="40">
        <f t="shared" si="6"/>
        <v>0</v>
      </c>
    </row>
    <row r="31" spans="1:41" ht="21.75" customHeight="1" x14ac:dyDescent="0.25">
      <c r="A31" s="7" t="s">
        <v>24</v>
      </c>
      <c r="B31" s="33">
        <v>8628</v>
      </c>
      <c r="C31" s="7">
        <v>10775</v>
      </c>
      <c r="D31" s="7">
        <v>10786.2</v>
      </c>
      <c r="E31" s="17">
        <f t="shared" si="0"/>
        <v>11.200000000000728</v>
      </c>
      <c r="F31" s="7">
        <v>145141</v>
      </c>
      <c r="G31" s="7">
        <v>145323</v>
      </c>
      <c r="H31" s="17">
        <f t="shared" si="1"/>
        <v>182</v>
      </c>
      <c r="I31" s="37">
        <f t="shared" si="2"/>
        <v>16</v>
      </c>
      <c r="J31" s="56"/>
      <c r="K31" s="57"/>
      <c r="L31" s="57"/>
      <c r="M31" s="58"/>
      <c r="N31" s="58"/>
      <c r="O31" s="59"/>
      <c r="P31" s="60">
        <f t="shared" si="3"/>
        <v>0</v>
      </c>
      <c r="Q31" s="87"/>
      <c r="R31" s="62"/>
      <c r="S31" s="68"/>
      <c r="T31" s="68"/>
      <c r="U31" s="68"/>
      <c r="V31" s="69"/>
      <c r="W31" s="76"/>
      <c r="X31" s="61">
        <f t="shared" si="4"/>
        <v>0</v>
      </c>
      <c r="Y31" s="87"/>
      <c r="Z31" s="56">
        <v>3</v>
      </c>
      <c r="AA31" s="57">
        <v>4</v>
      </c>
      <c r="AB31" s="57">
        <v>9</v>
      </c>
      <c r="AC31" s="57"/>
      <c r="AD31" s="58"/>
      <c r="AE31" s="59"/>
      <c r="AF31" s="61">
        <f t="shared" si="5"/>
        <v>13</v>
      </c>
      <c r="AG31" s="87"/>
      <c r="AH31" s="56"/>
      <c r="AI31" s="67"/>
      <c r="AJ31" s="57"/>
      <c r="AK31" s="57"/>
      <c r="AL31" s="58"/>
      <c r="AM31" s="58"/>
      <c r="AN31" s="59"/>
      <c r="AO31" s="40">
        <f t="shared" si="6"/>
        <v>0</v>
      </c>
    </row>
    <row r="32" spans="1:41" ht="21.75" customHeight="1" x14ac:dyDescent="0.25">
      <c r="A32" s="7" t="s">
        <v>25</v>
      </c>
      <c r="B32" s="33">
        <v>8629</v>
      </c>
      <c r="C32" s="7">
        <v>11206</v>
      </c>
      <c r="D32" s="7">
        <v>11216</v>
      </c>
      <c r="E32" s="17">
        <f t="shared" si="0"/>
        <v>10</v>
      </c>
      <c r="F32" s="7">
        <v>146026</v>
      </c>
      <c r="G32" s="7">
        <v>146225</v>
      </c>
      <c r="H32" s="17">
        <f t="shared" si="1"/>
        <v>199</v>
      </c>
      <c r="I32" s="37">
        <f t="shared" si="2"/>
        <v>10</v>
      </c>
      <c r="J32" s="56"/>
      <c r="K32" s="57"/>
      <c r="L32" s="57"/>
      <c r="M32" s="58"/>
      <c r="N32" s="58"/>
      <c r="O32" s="59"/>
      <c r="P32" s="60">
        <f t="shared" si="3"/>
        <v>0</v>
      </c>
      <c r="Q32" s="87"/>
      <c r="R32" s="62"/>
      <c r="S32" s="68"/>
      <c r="T32" s="68"/>
      <c r="U32" s="68"/>
      <c r="V32" s="69"/>
      <c r="W32" s="76"/>
      <c r="X32" s="61">
        <f t="shared" si="4"/>
        <v>0</v>
      </c>
      <c r="Y32" s="87"/>
      <c r="Z32" s="56"/>
      <c r="AA32" s="57"/>
      <c r="AB32" s="57"/>
      <c r="AC32" s="57"/>
      <c r="AD32" s="58"/>
      <c r="AE32" s="59"/>
      <c r="AF32" s="61">
        <f t="shared" si="5"/>
        <v>0</v>
      </c>
      <c r="AG32" s="87"/>
      <c r="AH32" s="56">
        <v>10</v>
      </c>
      <c r="AI32" s="67"/>
      <c r="AJ32" s="57"/>
      <c r="AK32" s="57"/>
      <c r="AL32" s="58"/>
      <c r="AM32" s="58"/>
      <c r="AN32" s="59"/>
      <c r="AO32" s="40">
        <f t="shared" si="6"/>
        <v>0</v>
      </c>
    </row>
    <row r="33" spans="1:41" ht="21.75" customHeight="1" x14ac:dyDescent="0.25">
      <c r="A33" s="7" t="s">
        <v>26</v>
      </c>
      <c r="B33" s="33">
        <v>8630</v>
      </c>
      <c r="C33" s="7">
        <v>6045</v>
      </c>
      <c r="D33" s="7">
        <v>6056.6</v>
      </c>
      <c r="E33" s="17">
        <f t="shared" si="0"/>
        <v>11.600000000000364</v>
      </c>
      <c r="F33" s="7">
        <v>75862</v>
      </c>
      <c r="G33" s="7">
        <v>76016</v>
      </c>
      <c r="H33" s="17">
        <f t="shared" si="1"/>
        <v>154</v>
      </c>
      <c r="I33" s="37">
        <f t="shared" si="2"/>
        <v>13</v>
      </c>
      <c r="J33" s="56"/>
      <c r="K33" s="57"/>
      <c r="L33" s="57"/>
      <c r="M33" s="58"/>
      <c r="N33" s="58"/>
      <c r="O33" s="59"/>
      <c r="P33" s="60">
        <f t="shared" si="3"/>
        <v>0</v>
      </c>
      <c r="Q33" s="87"/>
      <c r="R33" s="62"/>
      <c r="S33" s="68"/>
      <c r="T33" s="68"/>
      <c r="U33" s="68"/>
      <c r="V33" s="69"/>
      <c r="W33" s="76"/>
      <c r="X33" s="61">
        <f t="shared" si="4"/>
        <v>0</v>
      </c>
      <c r="Y33" s="87"/>
      <c r="Z33" s="56">
        <v>3</v>
      </c>
      <c r="AA33" s="57">
        <v>4</v>
      </c>
      <c r="AB33" s="57">
        <v>6</v>
      </c>
      <c r="AC33" s="57"/>
      <c r="AD33" s="58"/>
      <c r="AE33" s="59"/>
      <c r="AF33" s="61">
        <f t="shared" si="5"/>
        <v>10</v>
      </c>
      <c r="AG33" s="87"/>
      <c r="AH33" s="56"/>
      <c r="AI33" s="67"/>
      <c r="AJ33" s="57"/>
      <c r="AK33" s="57"/>
      <c r="AL33" s="58"/>
      <c r="AM33" s="58"/>
      <c r="AN33" s="59"/>
      <c r="AO33" s="40">
        <f t="shared" si="6"/>
        <v>0</v>
      </c>
    </row>
    <row r="34" spans="1:41" ht="21.75" customHeight="1" x14ac:dyDescent="0.25">
      <c r="A34" s="7" t="s">
        <v>27</v>
      </c>
      <c r="B34" s="33">
        <v>8632</v>
      </c>
      <c r="C34" s="7">
        <v>9193.5</v>
      </c>
      <c r="D34" s="7">
        <v>9203.7000000000007</v>
      </c>
      <c r="E34" s="17">
        <f t="shared" si="0"/>
        <v>10.200000000000728</v>
      </c>
      <c r="F34" s="7">
        <v>116196</v>
      </c>
      <c r="G34" s="7">
        <f>+F34+100</f>
        <v>116296</v>
      </c>
      <c r="H34" s="17">
        <f t="shared" si="1"/>
        <v>100</v>
      </c>
      <c r="I34" s="37">
        <f t="shared" si="2"/>
        <v>8</v>
      </c>
      <c r="J34" s="109"/>
      <c r="K34" s="110"/>
      <c r="L34" s="110"/>
      <c r="M34" s="111"/>
      <c r="N34" s="111"/>
      <c r="O34" s="112"/>
      <c r="P34" s="60">
        <f t="shared" si="3"/>
        <v>0</v>
      </c>
      <c r="Q34" s="87"/>
      <c r="R34" s="62"/>
      <c r="S34" s="68"/>
      <c r="T34" s="68"/>
      <c r="U34" s="68"/>
      <c r="V34" s="69"/>
      <c r="W34" s="76"/>
      <c r="X34" s="61">
        <f t="shared" si="4"/>
        <v>0</v>
      </c>
      <c r="Y34" s="87"/>
      <c r="Z34" s="56"/>
      <c r="AA34" s="57"/>
      <c r="AB34" s="57"/>
      <c r="AC34" s="57"/>
      <c r="AD34" s="58"/>
      <c r="AE34" s="59"/>
      <c r="AF34" s="61">
        <f t="shared" si="5"/>
        <v>0</v>
      </c>
      <c r="AG34" s="87"/>
      <c r="AH34" s="56">
        <v>8</v>
      </c>
      <c r="AI34" s="67"/>
      <c r="AJ34" s="57"/>
      <c r="AK34" s="57"/>
      <c r="AL34" s="58"/>
      <c r="AM34" s="58"/>
      <c r="AN34" s="59"/>
      <c r="AO34" s="40">
        <f t="shared" si="6"/>
        <v>0</v>
      </c>
    </row>
    <row r="35" spans="1:41" ht="21.75" customHeight="1" x14ac:dyDescent="0.25">
      <c r="A35" s="7" t="s">
        <v>34</v>
      </c>
      <c r="B35" s="33">
        <v>8633</v>
      </c>
      <c r="C35" s="7">
        <v>8050.1</v>
      </c>
      <c r="D35" s="7">
        <v>8061.7</v>
      </c>
      <c r="E35" s="17">
        <f t="shared" si="0"/>
        <v>11.599999999999454</v>
      </c>
      <c r="F35" s="7">
        <v>112198</v>
      </c>
      <c r="G35" s="7">
        <f>+F35+150</f>
        <v>112348</v>
      </c>
      <c r="H35" s="17">
        <f t="shared" si="1"/>
        <v>150</v>
      </c>
      <c r="I35" s="37">
        <f t="shared" si="2"/>
        <v>14</v>
      </c>
      <c r="J35" s="56"/>
      <c r="K35" s="57"/>
      <c r="L35" s="57"/>
      <c r="M35" s="58"/>
      <c r="N35" s="58"/>
      <c r="O35" s="59"/>
      <c r="P35" s="60">
        <f t="shared" si="3"/>
        <v>0</v>
      </c>
      <c r="Q35" s="87"/>
      <c r="R35" s="62"/>
      <c r="S35" s="68"/>
      <c r="T35" s="68"/>
      <c r="U35" s="68"/>
      <c r="V35" s="69"/>
      <c r="W35" s="76"/>
      <c r="X35" s="61">
        <f t="shared" si="4"/>
        <v>0</v>
      </c>
      <c r="Y35" s="87"/>
      <c r="Z35" s="56">
        <v>3</v>
      </c>
      <c r="AA35" s="57">
        <v>3</v>
      </c>
      <c r="AB35" s="57">
        <v>8</v>
      </c>
      <c r="AC35" s="57"/>
      <c r="AD35" s="58"/>
      <c r="AE35" s="59"/>
      <c r="AF35" s="61">
        <f t="shared" si="5"/>
        <v>11</v>
      </c>
      <c r="AG35" s="87"/>
      <c r="AH35" s="56"/>
      <c r="AI35" s="67"/>
      <c r="AJ35" s="57"/>
      <c r="AK35" s="57"/>
      <c r="AL35" s="58"/>
      <c r="AM35" s="58"/>
      <c r="AN35" s="59"/>
      <c r="AO35" s="40">
        <f t="shared" si="6"/>
        <v>0</v>
      </c>
    </row>
    <row r="36" spans="1:41" ht="21.75" customHeight="1" x14ac:dyDescent="0.25">
      <c r="A36" s="7" t="s">
        <v>33</v>
      </c>
      <c r="B36" s="34">
        <v>8644</v>
      </c>
      <c r="C36" s="7"/>
      <c r="D36" s="7"/>
      <c r="E36" s="17">
        <f t="shared" si="0"/>
        <v>0</v>
      </c>
      <c r="F36" s="7"/>
      <c r="G36" s="7"/>
      <c r="H36" s="17">
        <f t="shared" si="1"/>
        <v>0</v>
      </c>
      <c r="I36" s="91">
        <f t="shared" si="2"/>
        <v>0</v>
      </c>
      <c r="J36" s="56"/>
      <c r="K36" s="57"/>
      <c r="L36" s="57"/>
      <c r="M36" s="58"/>
      <c r="N36" s="58"/>
      <c r="O36" s="59"/>
      <c r="P36" s="60">
        <f t="shared" si="3"/>
        <v>0</v>
      </c>
      <c r="Q36" s="87"/>
      <c r="R36" s="62"/>
      <c r="S36" s="68"/>
      <c r="T36" s="68"/>
      <c r="U36" s="68"/>
      <c r="V36" s="69"/>
      <c r="W36" s="76"/>
      <c r="X36" s="61">
        <f t="shared" si="4"/>
        <v>0</v>
      </c>
      <c r="Y36" s="87"/>
      <c r="Z36" s="56"/>
      <c r="AA36" s="57"/>
      <c r="AB36" s="57"/>
      <c r="AC36" s="57"/>
      <c r="AD36" s="58"/>
      <c r="AE36" s="59"/>
      <c r="AF36" s="61">
        <f t="shared" si="5"/>
        <v>0</v>
      </c>
      <c r="AG36" s="87"/>
      <c r="AH36" s="56"/>
      <c r="AI36" s="67"/>
      <c r="AJ36" s="57"/>
      <c r="AK36" s="57"/>
      <c r="AL36" s="58"/>
      <c r="AM36" s="58"/>
      <c r="AN36" s="59"/>
      <c r="AO36" s="40">
        <f t="shared" si="6"/>
        <v>0</v>
      </c>
    </row>
    <row r="37" spans="1:41" ht="21.75" customHeight="1" x14ac:dyDescent="0.25">
      <c r="A37" s="7" t="s">
        <v>33</v>
      </c>
      <c r="B37" s="34">
        <v>8645</v>
      </c>
      <c r="C37" s="7">
        <v>10498</v>
      </c>
      <c r="D37" s="7">
        <v>10508.4</v>
      </c>
      <c r="E37" s="17">
        <f t="shared" si="0"/>
        <v>10.399999999999636</v>
      </c>
      <c r="F37" s="7">
        <v>147500</v>
      </c>
      <c r="G37" s="7">
        <v>147667</v>
      </c>
      <c r="H37" s="17">
        <f t="shared" si="1"/>
        <v>167</v>
      </c>
      <c r="I37" s="91">
        <f t="shared" si="2"/>
        <v>8</v>
      </c>
      <c r="J37" s="56"/>
      <c r="K37" s="68"/>
      <c r="L37" s="68"/>
      <c r="M37" s="69"/>
      <c r="N37" s="69"/>
      <c r="O37" s="59"/>
      <c r="P37" s="60">
        <f t="shared" si="3"/>
        <v>0</v>
      </c>
      <c r="Q37" s="87"/>
      <c r="R37" s="62"/>
      <c r="S37" s="68"/>
      <c r="T37" s="68"/>
      <c r="U37" s="68"/>
      <c r="V37" s="69"/>
      <c r="W37" s="76"/>
      <c r="X37" s="61">
        <f t="shared" si="4"/>
        <v>0</v>
      </c>
      <c r="Y37" s="87"/>
      <c r="Z37" s="56"/>
      <c r="AA37" s="57"/>
      <c r="AB37" s="57"/>
      <c r="AC37" s="57"/>
      <c r="AD37" s="58"/>
      <c r="AE37" s="59"/>
      <c r="AF37" s="61">
        <f t="shared" si="5"/>
        <v>0</v>
      </c>
      <c r="AG37" s="87"/>
      <c r="AH37" s="56">
        <v>8</v>
      </c>
      <c r="AI37" s="67"/>
      <c r="AJ37" s="57"/>
      <c r="AK37" s="57"/>
      <c r="AL37" s="58"/>
      <c r="AM37" s="58"/>
      <c r="AN37" s="59"/>
      <c r="AO37" s="40">
        <f t="shared" si="6"/>
        <v>0</v>
      </c>
    </row>
    <row r="38" spans="1:41" ht="21.75" customHeight="1" x14ac:dyDescent="0.25">
      <c r="A38" s="7" t="s">
        <v>28</v>
      </c>
      <c r="B38" s="33">
        <v>8651</v>
      </c>
      <c r="C38" s="7">
        <v>6363.5</v>
      </c>
      <c r="D38" s="7">
        <v>6372.9</v>
      </c>
      <c r="E38" s="17">
        <f t="shared" si="0"/>
        <v>9.3999999999996362</v>
      </c>
      <c r="F38" s="7">
        <v>82045</v>
      </c>
      <c r="G38" s="7">
        <v>82164</v>
      </c>
      <c r="H38" s="17">
        <f t="shared" si="1"/>
        <v>119</v>
      </c>
      <c r="I38" s="91">
        <f t="shared" si="2"/>
        <v>10</v>
      </c>
      <c r="J38" s="62"/>
      <c r="K38" s="57"/>
      <c r="L38" s="57"/>
      <c r="M38" s="58"/>
      <c r="N38" s="58"/>
      <c r="O38" s="59"/>
      <c r="P38" s="60">
        <f t="shared" si="3"/>
        <v>0</v>
      </c>
      <c r="Q38" s="87"/>
      <c r="R38" s="62">
        <v>2</v>
      </c>
      <c r="S38" s="68">
        <v>4</v>
      </c>
      <c r="T38" s="68">
        <v>3</v>
      </c>
      <c r="U38" s="68"/>
      <c r="V38" s="69">
        <v>1</v>
      </c>
      <c r="W38" s="76"/>
      <c r="X38" s="61">
        <f t="shared" si="4"/>
        <v>8</v>
      </c>
      <c r="Y38" s="87"/>
      <c r="Z38" s="56"/>
      <c r="AA38" s="57"/>
      <c r="AB38" s="57"/>
      <c r="AC38" s="57"/>
      <c r="AD38" s="58"/>
      <c r="AE38" s="59"/>
      <c r="AF38" s="61">
        <f t="shared" si="5"/>
        <v>0</v>
      </c>
      <c r="AG38" s="87"/>
      <c r="AH38" s="56"/>
      <c r="AI38" s="67"/>
      <c r="AJ38" s="57"/>
      <c r="AK38" s="57"/>
      <c r="AL38" s="58"/>
      <c r="AM38" s="58"/>
      <c r="AN38" s="59"/>
      <c r="AO38" s="40">
        <f t="shared" si="6"/>
        <v>0</v>
      </c>
    </row>
    <row r="39" spans="1:41" ht="21.75" customHeight="1" thickBot="1" x14ac:dyDescent="0.3">
      <c r="A39" s="8" t="s">
        <v>29</v>
      </c>
      <c r="B39" s="81">
        <v>8652</v>
      </c>
      <c r="C39" s="8">
        <v>5928.8</v>
      </c>
      <c r="D39" s="8">
        <v>5940</v>
      </c>
      <c r="E39" s="17">
        <f t="shared" si="0"/>
        <v>11.199999999999818</v>
      </c>
      <c r="F39" s="8">
        <v>76156</v>
      </c>
      <c r="G39" s="8">
        <v>76328</v>
      </c>
      <c r="H39" s="82">
        <f t="shared" si="1"/>
        <v>172</v>
      </c>
      <c r="I39" s="92">
        <f t="shared" si="2"/>
        <v>13</v>
      </c>
      <c r="J39" s="70"/>
      <c r="K39" s="71"/>
      <c r="L39" s="71"/>
      <c r="M39" s="72"/>
      <c r="N39" s="72"/>
      <c r="O39" s="73"/>
      <c r="P39" s="74">
        <f t="shared" si="3"/>
        <v>0</v>
      </c>
      <c r="Q39" s="87"/>
      <c r="R39" s="77"/>
      <c r="S39" s="78"/>
      <c r="T39" s="78"/>
      <c r="U39" s="78"/>
      <c r="V39" s="79"/>
      <c r="W39" s="80"/>
      <c r="X39" s="93">
        <f t="shared" si="4"/>
        <v>0</v>
      </c>
      <c r="Y39" s="87"/>
      <c r="Z39" s="70">
        <v>5</v>
      </c>
      <c r="AA39" s="71">
        <v>1</v>
      </c>
      <c r="AB39" s="71">
        <v>7</v>
      </c>
      <c r="AC39" s="71"/>
      <c r="AD39" s="72"/>
      <c r="AE39" s="73"/>
      <c r="AF39" s="93">
        <f t="shared" si="5"/>
        <v>8</v>
      </c>
      <c r="AG39" s="87"/>
      <c r="AH39" s="70"/>
      <c r="AI39" s="75"/>
      <c r="AJ39" s="71"/>
      <c r="AK39" s="71"/>
      <c r="AL39" s="58"/>
      <c r="AM39" s="72"/>
      <c r="AN39" s="73"/>
      <c r="AO39" s="41">
        <f t="shared" si="6"/>
        <v>0</v>
      </c>
    </row>
    <row r="40" spans="1:41" ht="24.75" customHeight="1" x14ac:dyDescent="0.25">
      <c r="I40" s="89">
        <f>SUM(I4:I39)</f>
        <v>250</v>
      </c>
      <c r="J40" s="88">
        <f>SUM(J4:J39)</f>
        <v>111</v>
      </c>
      <c r="K40" s="88">
        <f>SUM(K4:K39)</f>
        <v>0</v>
      </c>
      <c r="L40" s="88">
        <f>SUM(L4:L39)</f>
        <v>0</v>
      </c>
      <c r="M40" s="88">
        <f t="shared" ref="M40" si="7">SUM(M4:M39)</f>
        <v>0</v>
      </c>
      <c r="N40" s="88">
        <f>SUM(N4:N39)</f>
        <v>0</v>
      </c>
      <c r="O40" s="88">
        <f>SUM(O4:O39)</f>
        <v>0</v>
      </c>
      <c r="P40" s="113">
        <f>SUM(J40:O40)</f>
        <v>111</v>
      </c>
      <c r="R40" s="108">
        <f t="shared" ref="R40:W40" si="8">SUM(R4:R39)</f>
        <v>14</v>
      </c>
      <c r="S40" s="83">
        <f t="shared" si="8"/>
        <v>20</v>
      </c>
      <c r="T40" s="83">
        <f t="shared" si="8"/>
        <v>7</v>
      </c>
      <c r="U40" s="83">
        <f t="shared" si="8"/>
        <v>3</v>
      </c>
      <c r="V40" s="83">
        <f t="shared" si="8"/>
        <v>3</v>
      </c>
      <c r="W40" s="83">
        <f t="shared" si="8"/>
        <v>0</v>
      </c>
      <c r="X40" s="114">
        <f>SUM(R40:W40)</f>
        <v>47</v>
      </c>
      <c r="Z40" s="94">
        <f>Z39</f>
        <v>5</v>
      </c>
      <c r="AA40" s="83"/>
      <c r="AB40" s="83">
        <f t="shared" ref="AB40:AE40" si="9">SUM(AB4:AB39)</f>
        <v>30</v>
      </c>
      <c r="AC40" s="83">
        <f t="shared" si="9"/>
        <v>0</v>
      </c>
      <c r="AD40" s="83">
        <f t="shared" si="9"/>
        <v>0</v>
      </c>
      <c r="AE40" s="83">
        <f t="shared" si="9"/>
        <v>0</v>
      </c>
      <c r="AF40" s="114">
        <f>SUM(Z40:AE40)</f>
        <v>35</v>
      </c>
      <c r="AH40" s="94">
        <f>SUM(AH4:AH39)</f>
        <v>36</v>
      </c>
      <c r="AI40" s="83">
        <f t="shared" ref="AI40:AN40" si="10">SUM(AI4:AI39)</f>
        <v>0</v>
      </c>
      <c r="AJ40" s="83">
        <f t="shared" si="10"/>
        <v>0</v>
      </c>
      <c r="AK40" s="83">
        <f t="shared" si="10"/>
        <v>0</v>
      </c>
      <c r="AL40" s="83">
        <f t="shared" si="10"/>
        <v>0</v>
      </c>
      <c r="AM40" s="83">
        <f t="shared" si="10"/>
        <v>0</v>
      </c>
      <c r="AN40" s="83">
        <f t="shared" si="10"/>
        <v>0</v>
      </c>
      <c r="AO40" s="115">
        <f>SUM(AH40:AN40)</f>
        <v>36</v>
      </c>
    </row>
    <row r="41" spans="1:41" ht="24.75" customHeight="1" x14ac:dyDescent="0.25">
      <c r="H41" t="s">
        <v>46</v>
      </c>
      <c r="I41" s="38"/>
      <c r="J41" s="1">
        <f>SUM(J4:J23)*25</f>
        <v>2500</v>
      </c>
      <c r="K41" s="1">
        <f t="shared" ref="K41:W41" si="11">SUM(K4:K23)*25</f>
        <v>0</v>
      </c>
      <c r="L41" s="1">
        <f t="shared" si="11"/>
        <v>0</v>
      </c>
      <c r="M41" s="1">
        <f t="shared" si="11"/>
        <v>0</v>
      </c>
      <c r="N41" s="1">
        <f t="shared" si="11"/>
        <v>0</v>
      </c>
      <c r="O41" s="1">
        <f t="shared" si="11"/>
        <v>0</v>
      </c>
      <c r="P41" s="51">
        <f>SUM(P4:P23)*25</f>
        <v>0</v>
      </c>
      <c r="R41" s="27">
        <f t="shared" si="11"/>
        <v>75</v>
      </c>
      <c r="S41" s="1">
        <f t="shared" si="11"/>
        <v>400</v>
      </c>
      <c r="T41" s="1">
        <f t="shared" si="11"/>
        <v>100</v>
      </c>
      <c r="U41" s="1">
        <f t="shared" si="11"/>
        <v>75</v>
      </c>
      <c r="V41" s="1">
        <f t="shared" si="11"/>
        <v>50</v>
      </c>
      <c r="W41" s="1">
        <f t="shared" si="11"/>
        <v>0</v>
      </c>
      <c r="X41" s="36">
        <f>SUM(X4:X23)*25</f>
        <v>625</v>
      </c>
      <c r="Z41" s="2">
        <f t="shared" ref="Z41:AF41" si="12">SUM(Z4:Z23)*25</f>
        <v>0</v>
      </c>
      <c r="AA41" s="1">
        <f t="shared" si="12"/>
        <v>0</v>
      </c>
      <c r="AB41" s="1">
        <f t="shared" si="12"/>
        <v>0</v>
      </c>
      <c r="AC41" s="1">
        <f t="shared" si="12"/>
        <v>0</v>
      </c>
      <c r="AD41" s="1">
        <f t="shared" si="12"/>
        <v>0</v>
      </c>
      <c r="AE41" s="1">
        <f t="shared" si="12"/>
        <v>0</v>
      </c>
      <c r="AF41" s="36">
        <f t="shared" si="12"/>
        <v>0</v>
      </c>
      <c r="AH41" s="2">
        <f t="shared" ref="AH41:AN41" si="13">SUM(AH4:AH23)*25</f>
        <v>0</v>
      </c>
      <c r="AI41" s="1">
        <f t="shared" si="13"/>
        <v>0</v>
      </c>
      <c r="AJ41" s="1">
        <f t="shared" si="13"/>
        <v>0</v>
      </c>
      <c r="AK41" s="1">
        <f t="shared" si="13"/>
        <v>0</v>
      </c>
      <c r="AL41" s="1">
        <f t="shared" si="13"/>
        <v>0</v>
      </c>
      <c r="AM41" s="1">
        <f t="shared" si="13"/>
        <v>0</v>
      </c>
      <c r="AN41" s="1">
        <f t="shared" si="13"/>
        <v>0</v>
      </c>
      <c r="AO41" s="36">
        <f>SUM(AO4:AO23)*25</f>
        <v>0</v>
      </c>
    </row>
    <row r="42" spans="1:41" ht="24.75" customHeight="1" x14ac:dyDescent="0.25">
      <c r="H42" t="s">
        <v>47</v>
      </c>
      <c r="I42" s="38"/>
      <c r="J42" s="1">
        <f>SUM(J24:J39)*20</f>
        <v>220</v>
      </c>
      <c r="K42" s="1">
        <f>SUM(K24:K39)*20</f>
        <v>0</v>
      </c>
      <c r="L42" s="1">
        <f>SUM(L24:L39)*20</f>
        <v>0</v>
      </c>
      <c r="M42" s="1">
        <f t="shared" ref="M42:X42" si="14">SUM(M24:M39)*20</f>
        <v>0</v>
      </c>
      <c r="N42" s="1">
        <f t="shared" si="14"/>
        <v>0</v>
      </c>
      <c r="O42" s="1">
        <f t="shared" si="14"/>
        <v>0</v>
      </c>
      <c r="P42" s="51">
        <f t="shared" si="14"/>
        <v>0</v>
      </c>
      <c r="R42" s="27">
        <f t="shared" si="14"/>
        <v>220</v>
      </c>
      <c r="S42" s="1">
        <f t="shared" si="14"/>
        <v>80</v>
      </c>
      <c r="T42" s="1">
        <f t="shared" si="14"/>
        <v>60</v>
      </c>
      <c r="U42" s="1">
        <f t="shared" si="14"/>
        <v>0</v>
      </c>
      <c r="V42" s="1">
        <f t="shared" si="14"/>
        <v>20</v>
      </c>
      <c r="W42" s="1">
        <f t="shared" si="14"/>
        <v>0</v>
      </c>
      <c r="X42" s="36">
        <f t="shared" si="14"/>
        <v>160</v>
      </c>
      <c r="Z42" s="2">
        <f t="shared" ref="Z42:AF42" si="15">SUM(Z24:Z39)*20</f>
        <v>280</v>
      </c>
      <c r="AA42" s="1">
        <f t="shared" si="15"/>
        <v>240</v>
      </c>
      <c r="AB42" s="1">
        <f t="shared" si="15"/>
        <v>600</v>
      </c>
      <c r="AC42" s="1">
        <f t="shared" si="15"/>
        <v>0</v>
      </c>
      <c r="AD42" s="1">
        <f t="shared" si="15"/>
        <v>0</v>
      </c>
      <c r="AE42" s="1">
        <f t="shared" si="15"/>
        <v>0</v>
      </c>
      <c r="AF42" s="36">
        <f t="shared" si="15"/>
        <v>840</v>
      </c>
      <c r="AH42" s="2">
        <f t="shared" ref="AH42:AN42" si="16">SUM(AH24:AH39)*20</f>
        <v>720</v>
      </c>
      <c r="AI42" s="1">
        <f t="shared" si="16"/>
        <v>0</v>
      </c>
      <c r="AJ42" s="1">
        <f t="shared" si="16"/>
        <v>0</v>
      </c>
      <c r="AK42" s="1">
        <f t="shared" si="16"/>
        <v>0</v>
      </c>
      <c r="AL42" s="1">
        <f t="shared" si="16"/>
        <v>0</v>
      </c>
      <c r="AM42" s="1">
        <f t="shared" si="16"/>
        <v>0</v>
      </c>
      <c r="AN42" s="1">
        <f t="shared" si="16"/>
        <v>0</v>
      </c>
      <c r="AO42" s="36">
        <f>SUM(AO24:AO39)*20</f>
        <v>0</v>
      </c>
    </row>
    <row r="43" spans="1:41" ht="24.75" customHeight="1" thickBot="1" x14ac:dyDescent="0.3">
      <c r="I43" s="144" t="s">
        <v>35</v>
      </c>
      <c r="J43" s="145"/>
      <c r="K43" s="145">
        <f>SUM(J41:N42)</f>
        <v>2720</v>
      </c>
      <c r="L43" s="145"/>
      <c r="M43" s="145"/>
      <c r="N43" s="145"/>
      <c r="O43" s="145"/>
      <c r="P43" s="86"/>
      <c r="Q43" s="32"/>
      <c r="R43" s="144">
        <f>SUM(R41:W42)</f>
        <v>1080</v>
      </c>
      <c r="S43" s="145"/>
      <c r="T43" s="145"/>
      <c r="U43" s="145"/>
      <c r="V43" s="145"/>
      <c r="W43" s="145"/>
      <c r="X43" s="85"/>
      <c r="Y43" s="32"/>
      <c r="Z43" s="144">
        <f>SUM(Z41:AE42)</f>
        <v>1120</v>
      </c>
      <c r="AA43" s="145"/>
      <c r="AB43" s="145"/>
      <c r="AC43" s="145"/>
      <c r="AD43" s="145"/>
      <c r="AE43" s="145"/>
      <c r="AF43" s="85"/>
      <c r="AG43" s="32"/>
      <c r="AH43" s="144">
        <f>SUM(AH41:AN42)</f>
        <v>720</v>
      </c>
      <c r="AI43" s="145"/>
      <c r="AJ43" s="145"/>
      <c r="AK43" s="145"/>
      <c r="AL43" s="145"/>
      <c r="AM43" s="145"/>
      <c r="AN43" s="145"/>
      <c r="AO43" s="96">
        <f>SUM(K43:AN43)</f>
        <v>5640</v>
      </c>
    </row>
    <row r="44" spans="1:41" ht="24.75" customHeight="1" x14ac:dyDescent="0.25">
      <c r="J44">
        <v>7.6</v>
      </c>
      <c r="AA44">
        <v>4.5999999999999996</v>
      </c>
      <c r="AH44">
        <v>7.4</v>
      </c>
    </row>
  </sheetData>
  <autoFilter ref="J1:AO44" xr:uid="{F8CA6F40-0EAA-4AF9-9803-415709AD0E2F}"/>
  <mergeCells count="9">
    <mergeCell ref="J2:O2"/>
    <mergeCell ref="R2:W2"/>
    <mergeCell ref="Z2:AE2"/>
    <mergeCell ref="AH2:AN2"/>
    <mergeCell ref="I43:J43"/>
    <mergeCell ref="K43:O43"/>
    <mergeCell ref="R43:W43"/>
    <mergeCell ref="Z43:AE43"/>
    <mergeCell ref="AH43:AN43"/>
  </mergeCells>
  <conditionalFormatting sqref="J4:O39 R4:W39 AH4:AN39">
    <cfRule type="expression" dxfId="1" priority="2">
      <formula>MOD(ROW(),2)</formula>
    </cfRule>
  </conditionalFormatting>
  <conditionalFormatting sqref="Z4:AE39">
    <cfRule type="expression" dxfId="0" priority="1">
      <formula>MOD(ROW(),2)</formula>
    </cfRule>
  </conditionalFormatting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0203DS</vt:lpstr>
      <vt:lpstr>2.25 NS</vt:lpstr>
      <vt:lpstr>02.26DS</vt:lpstr>
      <vt:lpstr>02.26NS </vt:lpstr>
      <vt:lpstr>27NS</vt:lpstr>
      <vt:lpstr>28DS</vt:lpstr>
      <vt:lpstr>....</vt:lpstr>
      <vt:lpstr>0301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dis pe</cp:lastModifiedBy>
  <dcterms:created xsi:type="dcterms:W3CDTF">2025-12-10T03:37:57Z</dcterms:created>
  <dcterms:modified xsi:type="dcterms:W3CDTF">2026-03-03T05:18:25Z</dcterms:modified>
</cp:coreProperties>
</file>